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07_Code\VB\VBsLib\Quaternion\"/>
    </mc:Choice>
  </mc:AlternateContent>
  <xr:revisionPtr revIDLastSave="0" documentId="13_ncr:1_{1C5162EE-75AF-44C0-A950-F9F6A8DECC5A}" xr6:coauthVersionLast="47" xr6:coauthVersionMax="47" xr10:uidLastSave="{00000000-0000-0000-0000-000000000000}"/>
  <bookViews>
    <workbookView xWindow="0" yWindow="0" windowWidth="12000" windowHeight="12900" tabRatio="872" activeTab="1" xr2:uid="{00000000-000D-0000-FFFF-FFFF00000000}"/>
  </bookViews>
  <sheets>
    <sheet name="Sheet1" sheetId="31" r:id="rId1"/>
    <sheet name="Quaternion tester" sheetId="32" r:id="rId2"/>
  </sheets>
  <functionGroups builtInGroupCount="19"/>
  <definedNames>
    <definedName name="Busbar_1_Copper_Thickness">#REF!</definedName>
    <definedName name="Busbar_1_Copper_Width">#REF!</definedName>
    <definedName name="Busbar_1_Isolant_Thickness">#REF!</definedName>
    <definedName name="Busbar_2_Copper_Thickness">#REF!</definedName>
    <definedName name="Busbar_2_Copper_Width">#REF!</definedName>
    <definedName name="Busbar_2_Isolant_Thickness">#REF!</definedName>
    <definedName name="Busbar_Copper_Thickness">Sheet1!$G$6</definedName>
    <definedName name="Busbar_Copper_Width">Sheet1!$G$7</definedName>
    <definedName name="Busbar_Isolant_Thickness">Sheet1!$G$8</definedName>
    <definedName name="Cell_Height_with_Tabs">#REF!</definedName>
    <definedName name="Cell_Height_without_Tabs">#REF!</definedName>
    <definedName name="Cell_Length">#REF!</definedName>
    <definedName name="Cell_Width">#REF!</definedName>
    <definedName name="CellsStack_Entraxe">#REF!</definedName>
    <definedName name="CellsStack_FirstCell_X">#REF!</definedName>
    <definedName name="CellsStack_Heatshield_y">#REF!</definedName>
    <definedName name="CellsStack_Height">#REF!</definedName>
    <definedName name="CellsStack_Length">#REF!</definedName>
    <definedName name="CellsStack_Nb_in_Parallel">#REF!</definedName>
    <definedName name="CellsStack_Nb_in_Series">#REF!</definedName>
    <definedName name="CellsStack_Width">#REF!</definedName>
    <definedName name="Coldplate1_Height">#REF!</definedName>
    <definedName name="Coldplate1_Length">#REF!</definedName>
    <definedName name="Coldplate1_pos_Pipettes_Entraxe">#REF!</definedName>
    <definedName name="Coldplate1_Thickness">#REF!</definedName>
    <definedName name="Compression_Height">#REF!</definedName>
    <definedName name="Compression_Length">#REF!</definedName>
    <definedName name="Compression_width">#REF!</definedName>
    <definedName name="ControlFileName">#REF!</definedName>
    <definedName name="Equipped_Height">#REF!</definedName>
    <definedName name="Equipped_Length">#REF!</definedName>
    <definedName name="Equipped_Thickness">#REF!</definedName>
    <definedName name="Equipped_Width">#REF!</definedName>
    <definedName name="Gap_Between_Module">#REF!</definedName>
    <definedName name="Gap_Lateral_module">#REF!</definedName>
    <definedName name="Gap_Sous_Modules">#REF!</definedName>
    <definedName name="Heatshield_Height">#REF!</definedName>
    <definedName name="Heatshield_Thickness">#REF!</definedName>
    <definedName name="Heatshield_Width">#REF!</definedName>
    <definedName name="LHS_Base_ContactSize">#REF!</definedName>
    <definedName name="LHS_Base_ContactSizeThickness">#REF!</definedName>
    <definedName name="LHS_Base_Height">#REF!</definedName>
    <definedName name="LHS_Base_Length">#REF!</definedName>
    <definedName name="LHS_Base_ScrewPowToExternal">#REF!</definedName>
    <definedName name="LHS_Base_ScrewQtySide1">#REF!</definedName>
    <definedName name="LHS_Base_ScrewQtySide2">#REF!</definedName>
    <definedName name="LHS_Base_TopleftChanferDistance1">#REF!</definedName>
    <definedName name="LHS_Base_TopleftChanferDistance2">#REF!</definedName>
    <definedName name="LHS_Base_Width">#REF!</definedName>
    <definedName name="LHS_Busbar_Copper_Thickness">#REF!</definedName>
    <definedName name="LHS_Busbar_Copper_Width">#REF!</definedName>
    <definedName name="LHS_Busbar_Isolant_Thickness">#REF!</definedName>
    <definedName name="LHS_ChanferDistance1">#REF!</definedName>
    <definedName name="LHS_ChanferDistance2">#REF!</definedName>
    <definedName name="LHS_Dist_Between_equipped_module">#REF!</definedName>
    <definedName name="LHS_Height">#REF!</definedName>
    <definedName name="LHS_Length">#REF!</definedName>
    <definedName name="LHS_Position_Equipped_rotZ">#REF!</definedName>
    <definedName name="LHS_Position_Frame_Z">#REF!</definedName>
    <definedName name="LHS_Position_Module1_rotX">#REF!</definedName>
    <definedName name="LHS_Position_Module1_rotY">#REF!</definedName>
    <definedName name="LHS_Position_Module1_X">#REF!</definedName>
    <definedName name="LHS_Position_Module1_Y">#REF!</definedName>
    <definedName name="LHS_Position_Module1_Z">#REF!</definedName>
    <definedName name="LHS_Position_Module2_rotX">#REF!</definedName>
    <definedName name="LHS_Position_Module2_rotY">#REF!</definedName>
    <definedName name="LHS_Position_Module2_rotZ">#REF!</definedName>
    <definedName name="LHS_Position_Module2_X">#REF!</definedName>
    <definedName name="LHS_Position_Module2_Y">#REF!</definedName>
    <definedName name="LHS_Position_Module2_Z">#REF!</definedName>
    <definedName name="LHS_Position_Module3_rotX">#REF!</definedName>
    <definedName name="LHS_Position_Module3_rotY">#REF!</definedName>
    <definedName name="LHS_Position_Module3_X">#REF!</definedName>
    <definedName name="LHS_Position_Module3_Y">#REF!</definedName>
    <definedName name="LHS_Position_Module3_Z">#REF!</definedName>
    <definedName name="LHS_Position_Module4_rotX">#REF!</definedName>
    <definedName name="LHS_Position_Module4_rotY">#REF!</definedName>
    <definedName name="LHS_Position_Module4_rotZ">#REF!</definedName>
    <definedName name="LHS_Position_Module4_X">#REF!</definedName>
    <definedName name="LHS_Position_Module4_Y">#REF!</definedName>
    <definedName name="LHS_Position_Module4_Z">#REF!</definedName>
    <definedName name="LHS_Width">#REF!</definedName>
    <definedName name="LHSBase_Radius">#REF!</definedName>
    <definedName name="LHSCover_ContactSize">#REF!</definedName>
    <definedName name="LHSCover_ContactSizeThickness">#REF!</definedName>
    <definedName name="LHSCover_Height">#REF!</definedName>
    <definedName name="LHSCover_Length">#REF!</definedName>
    <definedName name="LHSCover_Radius">#REF!</definedName>
    <definedName name="LHSCover_ScrewPowToExternal">#REF!</definedName>
    <definedName name="LHSCover_ScrewQtySide1">#REF!</definedName>
    <definedName name="LHSCover_ScrewQtySide2">#REF!</definedName>
    <definedName name="LHSCover_TopleftChanferDistance1">#REF!</definedName>
    <definedName name="LHSCover_TopleftChanferDistance2">#REF!</definedName>
    <definedName name="LHSCover_Width">#REF!</definedName>
    <definedName name="LHSFrame_Height">#REF!</definedName>
    <definedName name="LHSFrame_Length">#REF!</definedName>
    <definedName name="LHSFrame_Radius">#REF!</definedName>
    <definedName name="LHSFrame_ScrewPowToExternal">#REF!</definedName>
    <definedName name="LHSFrame_ScrewQtySide1">#REF!</definedName>
    <definedName name="LHSFrame_ScrewQtySide2">#REF!</definedName>
    <definedName name="LHSFrame_Thickness">#REF!</definedName>
    <definedName name="LHSFrame_TopleftChanferDistance1">#REF!</definedName>
    <definedName name="LHSframe_TopleftChanferDistance2">#REF!</definedName>
    <definedName name="LHSFrame_Width">#REF!</definedName>
    <definedName name="Module_CMCPosNegatif_rotX">#REF!</definedName>
    <definedName name="Module_CMCPosNegatif_rotY">#REF!</definedName>
    <definedName name="Module_CMCPosNegatif_rotZ">#REF!</definedName>
    <definedName name="Module_CMCPosNegatif_X">#REF!</definedName>
    <definedName name="Module_CMCPosNegatif_Y">#REF!</definedName>
    <definedName name="Module_CMCPosNegatif_Z">#REF!</definedName>
    <definedName name="Module_FixationPosNegatif_X">#REF!</definedName>
    <definedName name="Module_FixationPosNegatif_Y">#REF!</definedName>
    <definedName name="Module_FixationPosNegatif_Z">#REF!</definedName>
    <definedName name="Module_FixationPosPositif_X">#REF!</definedName>
    <definedName name="Module_FixationPosPositif_Y">#REF!</definedName>
    <definedName name="Module_FixationPosPositif_Z">#REF!</definedName>
    <definedName name="Module_Height">#REF!</definedName>
    <definedName name="Module_Length">#REF!</definedName>
    <definedName name="Module_PosNegatif_rotX">#REF!</definedName>
    <definedName name="Module_PosNegatif_rotY">#REF!</definedName>
    <definedName name="Module_PosNegatif_rotZ">#REF!</definedName>
    <definedName name="Module_PosNegatif_X">#REF!</definedName>
    <definedName name="Module_PosNegatif_Y">#REF!</definedName>
    <definedName name="Module_PosNegatif_Z">#REF!</definedName>
    <definedName name="Module_PosPositif_rotX">#REF!</definedName>
    <definedName name="Module_PosPositif_rotY">#REF!</definedName>
    <definedName name="Module_PosPositif_rotZ">#REF!</definedName>
    <definedName name="Module_PosPositif_X">#REF!</definedName>
    <definedName name="Module_PosPositif_Y">#REF!</definedName>
    <definedName name="Module_PosPositif_Z">#REF!</definedName>
    <definedName name="Module_Width">#REF!</definedName>
    <definedName name="PlaqueLateral_Height">#REF!</definedName>
    <definedName name="PlaqueLateral_Length">#REF!</definedName>
    <definedName name="PlaqueLateral_Thickness">#REF!</definedName>
    <definedName name="Position_Coldplate_rotX">#REF!</definedName>
    <definedName name="Position_Coldplate_rotY">#REF!</definedName>
    <definedName name="Position_Coldplate_rotZ">#REF!</definedName>
    <definedName name="Position_Coldplate_X">#REF!</definedName>
    <definedName name="Position_Coldplate_Y">#REF!</definedName>
    <definedName name="Position_Coldplate_Z">#REF!</definedName>
    <definedName name="Position_ColdplatePipette1_rotX">#REF!</definedName>
    <definedName name="Position_ColdplatePipette1_rotY">#REF!</definedName>
    <definedName name="Position_ColdplatePipette1_rotZ">#REF!</definedName>
    <definedName name="Position_ColdplatePipette1_X">#REF!</definedName>
    <definedName name="Position_ColdplatePipette1_Y">#REF!</definedName>
    <definedName name="Position_ColdplatePipette1_Z">#REF!</definedName>
    <definedName name="Position_ColdplatePipette2_rotX">#REF!</definedName>
    <definedName name="Position_ColdplatePipette2_rotY">#REF!</definedName>
    <definedName name="Position_ColdplatePipette2_X">#REF!</definedName>
    <definedName name="Position_ColdplatePipette2_Y">#REF!</definedName>
    <definedName name="Position_ColdplatePipette2_Z">#REF!</definedName>
    <definedName name="Position_Module_rotX">#REF!</definedName>
    <definedName name="Position_Module_rotY">#REF!</definedName>
    <definedName name="Position_Module_rotZ">#REF!</definedName>
    <definedName name="Position_Module_X">#REF!</definedName>
    <definedName name="Position_Module_Y">#REF!</definedName>
    <definedName name="Position_Module_Z">#REF!</definedName>
    <definedName name="Position_SupportIsolant_X">#REF!</definedName>
    <definedName name="RHS_Base_ContactSize">#REF!</definedName>
    <definedName name="RHS_Base_ContactSizeThickness">#REF!</definedName>
    <definedName name="RHS_Base_Height">#REF!</definedName>
    <definedName name="RHS_Base_Length">#REF!</definedName>
    <definedName name="RHS_Base_ScrewPowToExternal">#REF!</definedName>
    <definedName name="RHS_Base_ScrewQtySide1">#REF!</definedName>
    <definedName name="RHS_Base_ScrewQtySide2">#REF!</definedName>
    <definedName name="RHS_Base_Width">#REF!</definedName>
    <definedName name="RHS_Busbar_Copper_Thickness">#REF!</definedName>
    <definedName name="RHS_Busbar_Copper_Width">#REF!</definedName>
    <definedName name="RHS_Busbar_Isolant_Thickness">#REF!</definedName>
    <definedName name="RHS_Dist_Between_equipped_module">#REF!</definedName>
    <definedName name="RHS_Height">#REF!</definedName>
    <definedName name="RHS_HydraulicPassage_PosX">#REF!</definedName>
    <definedName name="RHS_HydraulicPassage_PosY">#REF!</definedName>
    <definedName name="RHS_HydraulicPassage_PosZ">#REF!</definedName>
    <definedName name="RHS_Length">#REF!</definedName>
    <definedName name="RHS_Position_Equipped_rotZ">#REF!</definedName>
    <definedName name="RHS_Position_Frame_Z">#REF!</definedName>
    <definedName name="RHS_Position_Module1_rotX">#REF!</definedName>
    <definedName name="RHS_Position_Module1_rotY">#REF!</definedName>
    <definedName name="RHS_Position_Module1_X">#REF!</definedName>
    <definedName name="RHS_Position_Module1_Y">#REF!</definedName>
    <definedName name="RHS_Position_Module1_Z">#REF!</definedName>
    <definedName name="RHS_Position_Module2_rotX">#REF!</definedName>
    <definedName name="RHS_Position_Module2_rotY">#REF!</definedName>
    <definedName name="RHS_Position_Module2_rotZ">#REF!</definedName>
    <definedName name="RHS_Position_Module2_X">#REF!</definedName>
    <definedName name="RHS_Position_Module2_Y">#REF!</definedName>
    <definedName name="RHS_Position_Module2_Z">#REF!</definedName>
    <definedName name="RHS_Position_Module3_rotX">#REF!</definedName>
    <definedName name="RHS_Position_Module3_rotY">#REF!</definedName>
    <definedName name="RHS_Position_Module3_X">#REF!</definedName>
    <definedName name="RHS_Position_Module3_Y">#REF!</definedName>
    <definedName name="RHS_Position_Module3_Z">#REF!</definedName>
    <definedName name="RHS_Position_Module4_rotX">#REF!</definedName>
    <definedName name="RHS_Position_Module4_rotY">#REF!</definedName>
    <definedName name="RHS_Position_Module4_rotZ">#REF!</definedName>
    <definedName name="RHS_Position_Module4_X">#REF!</definedName>
    <definedName name="RHS_Position_Module4_Y">#REF!</definedName>
    <definedName name="RHS_Position_Module4_Z">#REF!</definedName>
    <definedName name="RHS_Width">#REF!</definedName>
    <definedName name="RHSBase_Radius">#REF!</definedName>
    <definedName name="RHSCover_ContactSize">#REF!</definedName>
    <definedName name="RHSCover_ContactSizeThickness">#REF!</definedName>
    <definedName name="RHSCover_Height">#REF!</definedName>
    <definedName name="RHSCover_Length">#REF!</definedName>
    <definedName name="RHSCover_Radius">#REF!</definedName>
    <definedName name="RHSCover_ScrewPowToExternal">#REF!</definedName>
    <definedName name="RHSCover_ScrewQtySide1">#REF!</definedName>
    <definedName name="RHSCover_ScrewQtySide2">#REF!</definedName>
    <definedName name="RHSCover_Width">#REF!</definedName>
    <definedName name="RHSFrame_Height">#REF!</definedName>
    <definedName name="RHSFrame_Length">#REF!</definedName>
    <definedName name="RHSFrame_Radius">#REF!</definedName>
    <definedName name="RHSFrame_ScrewPowToExternal">#REF!</definedName>
    <definedName name="RHSFrame_ScrewQtySide1">#REF!</definedName>
    <definedName name="RHSFrame_ScrewQtySide2">#REF!</definedName>
    <definedName name="RHSFrame_Thickness">#REF!</definedName>
    <definedName name="RHSFrame_Width">#REF!</definedName>
    <definedName name="SheetsName">REPLACE(GET.WORKBOOK(1),1,FIND("]",GET.WORKBOOK(1)),"")</definedName>
    <definedName name="SheetToExport">_xlfn.ANCHORARRAY(#REF!)</definedName>
    <definedName name="SupportIsolant_Height">#REF!</definedName>
    <definedName name="SupportIsolant_Length">#REF!</definedName>
    <definedName name="SupportIsolant_Thickness">#REF!</definedName>
    <definedName name="SupportIsolant2_Height">#REF!</definedName>
    <definedName name="SupportIsolant2_Length">#REF!</definedName>
    <definedName name="SupportIsolant2_Thickness">#REF!</definedName>
    <definedName name="Tabs_Negative_Length">#REF!</definedName>
    <definedName name="Tabs_Negative_Pos">#REF!</definedName>
    <definedName name="Tabs_Negative_Width">#REF!</definedName>
    <definedName name="Tabs_Positive_Length">#REF!</definedName>
    <definedName name="Tabs_Positive_Pos">#REF!</definedName>
    <definedName name="Tabs_Positive_Width">#REF!</definedName>
    <definedName name="TopCover_Length">#REF!</definedName>
    <definedName name="TopCover_Thickness">#REF!</definedName>
    <definedName name="TopCover_Width">#REF!</definedName>
  </definedNames>
  <calcPr calcId="191029" calcMode="autoNoTable"/>
  <customWorkbookViews>
    <customWorkbookView name="LEROY Pierre - Personal View" guid="{C4E89838-D166-46DB-9DA1-BDF57E1E7BF6}" mergeInterval="0" personalView="1" maximized="1" xWindow="1912" yWindow="-376" windowWidth="1216" windowHeight="1896" tabRatio="872" activeSheetId="5"/>
    <customWorkbookView name="GMC - Personal View" guid="{C77DD044-796E-419F-9556-F5D14AADD642}" mergeInterval="0" personalView="1" xWindow="528" yWindow="9" windowWidth="1389" windowHeight="1113" tabRatio="872" activeSheetId="5" showComments="commIndAndComment"/>
    <customWorkbookView name="LA MANNA Quentin - Personal View" guid="{22491DF0-2DA2-4807-B84B-72EF7A9EBE14}" mergeInterval="0" personalView="1" maximized="1" xWindow="-1928" yWindow="-6" windowWidth="1936" windowHeight="1176" tabRatio="872" activeSheetId="3" showComments="commIndAndComment"/>
    <customWorkbookView name="PAVELEV Vladislav - Personal View" guid="{61422E20-288D-449C-9FE2-57A222CF8517}" mergeInterval="0" personalView="1" maximized="1" xWindow="-8" yWindow="-8" windowWidth="1388" windowHeight="1176" tabRatio="872" activeSheetId="13"/>
    <customWorkbookView name="POTET Nicolas - Personal View" guid="{89158A5A-E60F-4224-8064-92404648ABA5}" mergeInterval="0" personalView="1" maximized="1" xWindow="498" yWindow="-8" windowWidth="1430" windowHeight="1056" tabRatio="872" activeSheetId="15"/>
    <customWorkbookView name="LA MANNA Quentin - Affichage personnalisé" guid="{DCD1E47F-CA49-40C5-9787-CC2768917CBB}" mergeInterval="0" personalView="1" maximized="1" windowWidth="1920" windowHeight="961" activeSheetId="1"/>
    <customWorkbookView name="BARNIER Laurent - Personal View" guid="{5F2F3AE6-3ED6-4548-B727-02896A38E23E}" mergeInterval="0" personalView="1" maximized="1" xWindow="2384" yWindow="-8" windowWidth="1464" windowHeight="1176" tabRatio="872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2" l="1"/>
  <c r="I20" i="31"/>
  <c r="I19" i="31"/>
  <c r="I18" i="31"/>
  <c r="I17" i="31"/>
  <c r="C11" i="32" a="1"/>
  <c r="C11" i="32" l="1"/>
  <c r="E50" i="31" a="1"/>
  <c r="E50" i="31" s="1"/>
  <c r="C50" i="31"/>
  <c r="E49" i="31" a="1"/>
  <c r="E49" i="31" s="1"/>
  <c r="C49" i="31"/>
  <c r="E48" i="31" a="1"/>
  <c r="E48" i="31" s="1"/>
  <c r="C48" i="31"/>
  <c r="E47" i="31" a="1"/>
  <c r="E47" i="31" s="1"/>
  <c r="C47" i="31"/>
  <c r="E46" i="31" a="1"/>
  <c r="E46" i="31" s="1"/>
  <c r="C46" i="31"/>
  <c r="E45" i="31" a="1"/>
  <c r="E45" i="31" s="1"/>
  <c r="C45" i="31"/>
  <c r="E44" i="31" a="1"/>
  <c r="E44" i="31" s="1"/>
  <c r="C44" i="31"/>
  <c r="E43" i="31" a="1"/>
  <c r="E43" i="31" s="1"/>
  <c r="C43" i="31"/>
  <c r="L37" i="31"/>
  <c r="K37" i="31"/>
  <c r="J37" i="31"/>
  <c r="F37" i="31"/>
  <c r="E37" i="31" s="1"/>
  <c r="G37" i="31" s="1"/>
  <c r="H50" i="31" a="1"/>
  <c r="H50" i="31" l="1"/>
  <c r="L36" i="31"/>
  <c r="K36" i="31"/>
  <c r="J36" i="31"/>
  <c r="L35" i="31" l="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G30" i="31"/>
  <c r="B26" i="31"/>
  <c r="H57" i="31" a="1"/>
  <c r="H43" i="31" a="1"/>
  <c r="H43" i="31" l="1"/>
  <c r="H57" i="31"/>
  <c r="F36" i="31" l="1"/>
  <c r="E36" i="31" s="1"/>
  <c r="G36" i="31" s="1"/>
  <c r="F34" i="31"/>
  <c r="E34" i="31" s="1"/>
  <c r="G34" i="31" s="1"/>
  <c r="F31" i="31"/>
  <c r="E31" i="31" s="1"/>
  <c r="G31" i="31" s="1"/>
  <c r="F35" i="31"/>
  <c r="E35" i="31" s="1"/>
  <c r="G35" i="31" s="1"/>
  <c r="F33" i="31"/>
  <c r="E33" i="31" s="1"/>
  <c r="G33" i="31" s="1"/>
  <c r="F32" i="31"/>
  <c r="E32" i="31" s="1"/>
  <c r="G32" i="31" s="1"/>
  <c r="H62" i="31" a="1"/>
  <c r="AC30" i="31" a="1"/>
  <c r="X30" i="31" a="1"/>
  <c r="H44" i="31" a="1"/>
  <c r="H46" i="31" a="1"/>
  <c r="H48" i="31" a="1"/>
  <c r="H45" i="31" a="1"/>
  <c r="H49" i="31" a="1"/>
  <c r="H47" i="31" a="1"/>
  <c r="H45" i="31" l="1"/>
  <c r="H46" i="31"/>
  <c r="AC30" i="31"/>
  <c r="H48" i="31"/>
  <c r="X30" i="31"/>
  <c r="H44" i="31"/>
  <c r="H62" i="31"/>
  <c r="H47" i="31"/>
  <c r="H49" i="31"/>
  <c r="L44" i="31" a="1"/>
  <c r="L44" i="31" l="1"/>
  <c r="L45" i="31" a="1"/>
  <c r="L45" i="31" l="1"/>
  <c r="L46" i="31" a="1"/>
  <c r="L46" i="31" l="1"/>
  <c r="L47" i="31" a="1"/>
  <c r="L47" i="31" l="1"/>
  <c r="L48" i="31" a="1"/>
  <c r="L48" i="31" l="1"/>
  <c r="L49" i="31" a="1"/>
  <c r="L49" i="31" l="1"/>
  <c r="L50" i="31" a="1"/>
  <c r="L50" i="3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<sst xmlns="http://schemas.openxmlformats.org/spreadsheetml/2006/main" count="74" uniqueCount="38">
  <si>
    <t>mm</t>
  </si>
  <si>
    <t>b</t>
  </si>
  <si>
    <t>a</t>
  </si>
  <si>
    <t>Y</t>
  </si>
  <si>
    <t>X</t>
  </si>
  <si>
    <t>Z</t>
  </si>
  <si>
    <t>RotX</t>
  </si>
  <si>
    <t>RotY</t>
  </si>
  <si>
    <t>RotZ</t>
  </si>
  <si>
    <t>Plis 1</t>
  </si>
  <si>
    <t>Plis 2</t>
  </si>
  <si>
    <t>Plis 3</t>
  </si>
  <si>
    <t>Plis 6</t>
  </si>
  <si>
    <t>Direction</t>
  </si>
  <si>
    <t>X+</t>
  </si>
  <si>
    <t>X-</t>
  </si>
  <si>
    <t>Y+</t>
  </si>
  <si>
    <t>Y-</t>
  </si>
  <si>
    <t>Z+</t>
  </si>
  <si>
    <t>Z-</t>
  </si>
  <si>
    <t>Offset length</t>
  </si>
  <si>
    <t>Offset</t>
  </si>
  <si>
    <t>Tableau de plis versus rotation et impact translation</t>
  </si>
  <si>
    <t>Paramétre global</t>
  </si>
  <si>
    <t>Busbar copper thickness</t>
  </si>
  <si>
    <t>Busbar copper with</t>
  </si>
  <si>
    <t>Busbar isolant thickness</t>
  </si>
  <si>
    <t>Transformation Local</t>
  </si>
  <si>
    <t>Transformation dans le repère origin du busbar</t>
  </si>
  <si>
    <t>Plis 7</t>
  </si>
  <si>
    <t>Plis 4</t>
  </si>
  <si>
    <t>Plis 5</t>
  </si>
  <si>
    <t>Extrude</t>
  </si>
  <si>
    <t>Datum</t>
  </si>
  <si>
    <t>Origin</t>
  </si>
  <si>
    <t>Résultat souhaité</t>
  </si>
  <si>
    <t>c=a°b</t>
  </si>
  <si>
    <t>résult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</si>
</sst>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6">
    <font>
      <sz val="10"/>
      <color theme="1"/>
      <name val="Times New Roman"/>
      <family val="1"/>
    </font>
    <font>
      <sz val="9"/>
      <color indexed="9"/>
      <name val="Geneva"/>
    </font>
    <font>
      <sz val="10"/>
      <name val="Arial"/>
      <family val="2"/>
      <charset val="1"/>
    </font>
    <font>
      <b/>
      <sz val="12"/>
      <name val="Times New Roman"/>
      <family val="1"/>
    </font>
    <font>
      <sz val="10"/>
      <name val="Times New Roman"/>
      <family val="1"/>
    </font>
    <font>
      <b/>
      <sz val="15"/>
      <color theme="3"/>
      <name val="Arial"/>
      <family val="2"/>
    </font>
    <font>
      <sz val="10"/>
      <color theme="1"/>
      <name val="Times New Roman"/>
      <family val="1"/>
    </font>
    <font>
      <u/>
      <sz val="10"/>
      <color theme="10"/>
      <name val="Arial"/>
      <family val="2"/>
    </font>
    <font>
      <sz val="10"/>
      <color rgb="FF9C0006"/>
      <name val="Times New Roman"/>
      <family val="1"/>
    </font>
    <font>
      <sz val="10"/>
      <color rgb="FF006100"/>
      <name val="Times New Roman"/>
      <family val="1"/>
    </font>
    <font>
      <sz val="10"/>
      <color rgb="FF9C6500"/>
      <name val="Times New Roman"/>
      <family val="1"/>
    </font>
    <font>
      <sz val="10"/>
      <color rgb="FF3F3F76"/>
      <name val="Times New Roman"/>
      <family val="1"/>
    </font>
    <font>
      <sz val="10"/>
      <color rgb="FF3F3F3F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8"/>
      <color theme="3"/>
      <name val="Cambria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7CB0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20">
    <xf numFmtId="0" fontId="0" fillId="0" borderId="0"/>
    <xf numFmtId="0" fontId="2" fillId="0" borderId="0"/>
    <xf numFmtId="0" fontId="7" fillId="0" borderId="0" applyNumberFormat="0" applyFill="0" applyBorder="0" applyAlignment="0" applyProtection="0"/>
    <xf numFmtId="0" fontId="11" fillId="2" borderId="11" applyNumberFormat="0" applyFont="0" applyAlignment="0" applyProtection="0"/>
    <xf numFmtId="0" fontId="12" fillId="9" borderId="11" applyNumberFormat="0" applyAlignment="0" applyProtection="0"/>
    <xf numFmtId="164" fontId="4" fillId="3" borderId="11" applyAlignment="0" applyProtection="0"/>
    <xf numFmtId="2" fontId="3" fillId="8" borderId="2" applyNumberFormat="0" applyProtection="0">
      <alignment horizontal="left" vertical="center"/>
    </xf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4" fillId="0" borderId="31" applyNumberFormat="0" applyProtection="0">
      <alignment horizontal="right"/>
    </xf>
    <xf numFmtId="0" fontId="10" fillId="7" borderId="0" applyNumberFormat="0" applyBorder="0" applyAlignment="0" applyProtection="0"/>
    <xf numFmtId="0" fontId="5" fillId="0" borderId="30" applyNumberFormat="0" applyFill="0" applyAlignment="0" applyProtection="0"/>
    <xf numFmtId="0" fontId="6" fillId="0" borderId="32" applyNumberFormat="0" applyProtection="0"/>
    <xf numFmtId="2" fontId="3" fillId="4" borderId="11" applyNumberFormat="0">
      <alignment horizontal="left" vertical="center"/>
    </xf>
    <xf numFmtId="0" fontId="13" fillId="0" borderId="33" applyNumberFormat="0" applyFill="0" applyAlignment="0" applyProtection="0"/>
    <xf numFmtId="0" fontId="14" fillId="0" borderId="34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>
      <protection locked="0"/>
    </xf>
    <xf numFmtId="0" fontId="15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0" fillId="0" borderId="1" xfId="0" applyBorder="1"/>
    <xf numFmtId="0" fontId="0" fillId="0" borderId="7" xfId="0" applyBorder="1"/>
    <xf numFmtId="0" fontId="0" fillId="0" borderId="11" xfId="0" applyBorder="1"/>
    <xf numFmtId="0" fontId="0" fillId="0" borderId="10" xfId="0" applyBorder="1"/>
    <xf numFmtId="0" fontId="0" fillId="0" borderId="0" xfId="0" applyAlignment="1">
      <alignment horizontal="right"/>
    </xf>
    <xf numFmtId="164" fontId="4" fillId="3" borderId="11" xfId="5"/>
    <xf numFmtId="0" fontId="0" fillId="0" borderId="5" xfId="0" applyBorder="1"/>
    <xf numFmtId="3" fontId="4" fillId="3" borderId="11" xfId="5" applyNumberFormat="1"/>
    <xf numFmtId="0" fontId="0" fillId="0" borderId="0" xfId="0" quotePrefix="1"/>
    <xf numFmtId="0" fontId="0" fillId="0" borderId="6" xfId="0" applyBorder="1"/>
    <xf numFmtId="164" fontId="0" fillId="0" borderId="0" xfId="0" applyNumberFormat="1"/>
    <xf numFmtId="0" fontId="0" fillId="2" borderId="11" xfId="3" applyFont="1"/>
    <xf numFmtId="0" fontId="0" fillId="2" borderId="1" xfId="3" applyFont="1" applyBorder="1"/>
    <xf numFmtId="0" fontId="0" fillId="2" borderId="8" xfId="3" applyFont="1" applyBorder="1"/>
    <xf numFmtId="0" fontId="0" fillId="2" borderId="4" xfId="3" applyFont="1" applyBorder="1"/>
    <xf numFmtId="3" fontId="4" fillId="3" borderId="1" xfId="5" applyNumberFormat="1" applyBorder="1"/>
    <xf numFmtId="164" fontId="4" fillId="3" borderId="12" xfId="5" applyBorder="1"/>
    <xf numFmtId="164" fontId="4" fillId="3" borderId="13" xfId="5" applyBorder="1"/>
    <xf numFmtId="164" fontId="4" fillId="3" borderId="14" xfId="5" applyBorder="1"/>
    <xf numFmtId="164" fontId="4" fillId="3" borderId="15" xfId="5" applyBorder="1"/>
    <xf numFmtId="164" fontId="4" fillId="3" borderId="16" xfId="5" applyBorder="1"/>
    <xf numFmtId="164" fontId="4" fillId="3" borderId="17" xfId="5" applyBorder="1"/>
    <xf numFmtId="164" fontId="4" fillId="3" borderId="18" xfId="5" applyBorder="1"/>
    <xf numFmtId="164" fontId="4" fillId="3" borderId="19" xfId="5" applyBorder="1"/>
    <xf numFmtId="3" fontId="4" fillId="3" borderId="15" xfId="5" applyNumberFormat="1" applyBorder="1"/>
    <xf numFmtId="3" fontId="4" fillId="3" borderId="16" xfId="5" applyNumberFormat="1" applyBorder="1"/>
    <xf numFmtId="3" fontId="4" fillId="3" borderId="17" xfId="5" applyNumberFormat="1" applyBorder="1"/>
    <xf numFmtId="3" fontId="4" fillId="3" borderId="18" xfId="5" applyNumberFormat="1" applyBorder="1"/>
    <xf numFmtId="3" fontId="4" fillId="3" borderId="19" xfId="5" applyNumberFormat="1" applyBorder="1"/>
    <xf numFmtId="164" fontId="4" fillId="3" borderId="9" xfId="5" applyBorder="1"/>
    <xf numFmtId="164" fontId="4" fillId="3" borderId="29" xfId="5" applyBorder="1"/>
    <xf numFmtId="164" fontId="4" fillId="3" borderId="12" xfId="5" quotePrefix="1" applyBorder="1"/>
    <xf numFmtId="164" fontId="4" fillId="3" borderId="15" xfId="5" quotePrefix="1" applyBorder="1"/>
    <xf numFmtId="164" fontId="4" fillId="3" borderId="17" xfId="5" quotePrefix="1" applyBorder="1"/>
    <xf numFmtId="3" fontId="0" fillId="0" borderId="0" xfId="0" applyNumberFormat="1"/>
    <xf numFmtId="0" fontId="0" fillId="0" borderId="11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15" fillId="0" borderId="20" xfId="19" applyBorder="1" applyAlignment="1">
      <alignment horizontal="center" vertical="center"/>
    </xf>
    <xf numFmtId="0" fontId="15" fillId="0" borderId="21" xfId="19" applyBorder="1" applyAlignment="1">
      <alignment horizontal="center" vertical="center"/>
    </xf>
    <xf numFmtId="0" fontId="15" fillId="0" borderId="22" xfId="19" applyBorder="1" applyAlignment="1">
      <alignment horizontal="center" vertical="center"/>
    </xf>
    <xf numFmtId="0" fontId="15" fillId="0" borderId="23" xfId="19" applyBorder="1" applyAlignment="1">
      <alignment horizontal="center" vertical="center"/>
    </xf>
    <xf numFmtId="0" fontId="15" fillId="0" borderId="24" xfId="19" applyBorder="1" applyAlignment="1">
      <alignment horizontal="center" vertical="center"/>
    </xf>
    <xf numFmtId="0" fontId="15" fillId="0" borderId="25" xfId="19" applyBorder="1" applyAlignment="1">
      <alignment horizontal="center" vertical="center"/>
    </xf>
  </cellXfs>
  <cellStyles count="20">
    <cellStyle name="Bad" xfId="7" builtinId="27" customBuiltin="1"/>
    <cellStyle name="Calculation" xfId="5" builtinId="22" customBuiltin="1"/>
    <cellStyle name="Check Cell" xfId="9" builtinId="23" customBuiltin="1"/>
    <cellStyle name="Excel Built-in Normal" xfId="1" xr:uid="{00000000-0005-0000-0000-000007000000}"/>
    <cellStyle name="Good" xfId="8" builtinId="26" customBuiltin="1"/>
    <cellStyle name="Heading 1" xfId="11" builtinId="16" hidden="1"/>
    <cellStyle name="Heading 2" xfId="14" builtinId="17" hidden="1"/>
    <cellStyle name="Heading 3" xfId="15" builtinId="18" hidden="1"/>
    <cellStyle name="Heading 4" xfId="16" builtinId="19" hidden="1"/>
    <cellStyle name="Heading 4" xfId="17" builtinId="19" hidden="1"/>
    <cellStyle name="Hyperlink" xfId="2" builtinId="8" customBuiltin="1"/>
    <cellStyle name="Input" xfId="3" builtinId="20" customBuiltin="1"/>
    <cellStyle name="Manual Input" xfId="13" xr:uid="{00000000-0005-0000-0000-000011000000}"/>
    <cellStyle name="Neutral" xfId="10" builtinId="28" customBuiltin="1"/>
    <cellStyle name="Normal" xfId="0" builtinId="0" customBuiltin="1"/>
    <cellStyle name="Output" xfId="4" builtinId="21" customBuiltin="1"/>
    <cellStyle name="Par dfaut" xfId="18" xr:uid="{00000000-0005-0000-0000-000016000000}"/>
    <cellStyle name="Title" xfId="19" builtinId="15"/>
    <cellStyle name="Title Andritz" xfId="6" xr:uid="{00000000-0005-0000-0000-000018000000}"/>
    <cellStyle name="Unit" xfId="12" xr:uid="{00000000-0005-0000-0000-000019000000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7CB0"/>
      <color rgb="FFAD653E"/>
      <color rgb="FFFFEB9C"/>
      <color rgb="FFFFFF99"/>
      <color rgb="FFFFCC66"/>
      <color rgb="FFF1F8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B2A0BB-75CD-42B6-AE1B-A911556DB193}" name="PlisDirection_Versus_Transformation" displayName="PlisDirection_Versus_Transformation" ref="E14:I21" totalsRowShown="0" headerRowDxfId="9" dataDxfId="7" headerRowBorderDxfId="8" tableBorderDxfId="6" totalsRowBorderDxfId="5" dataCellStyle="Input">
  <autoFilter ref="E14:I21" xr:uid="{1DB2A0BB-75CD-42B6-AE1B-A911556DB193}"/>
  <tableColumns count="5">
    <tableColumn id="1" xr3:uid="{2C8BB1E2-8E0F-4920-A57E-024353C91DE5}" name="Direction" dataDxfId="4"/>
    <tableColumn id="2" xr3:uid="{C2D979B4-40A6-47AD-A58D-A7835FF7437F}" name="RotX" dataDxfId="3" dataCellStyle="Input"/>
    <tableColumn id="3" xr3:uid="{02BCD91E-2942-456A-BCAE-08C25D165780}" name="RotY" dataDxfId="2" dataCellStyle="Input"/>
    <tableColumn id="4" xr3:uid="{3292B994-68DE-4549-AEEF-F41B0094B8E0}" name="RotZ" dataDxfId="1" dataCellStyle="Input"/>
    <tableColumn id="5" xr3:uid="{5C50ECEC-4EA6-43D1-97CD-F3C3AE501C3D}" name="Offset length" dataDxfId="0" dataCellStyle="Inp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B5BC6-4C27-42D7-8CE6-19BFFA9EF76D}">
  <sheetPr codeName="Sheet2"/>
  <dimension ref="B2:AF72"/>
  <sheetViews>
    <sheetView topLeftCell="C42" zoomScale="85" zoomScaleNormal="85" workbookViewId="0">
      <selection activeCell="M29" sqref="M29"/>
    </sheetView>
  </sheetViews>
  <sheetFormatPr defaultRowHeight="12.75"/>
  <cols>
    <col min="6" max="6" width="10.6640625" bestFit="1" customWidth="1"/>
    <col min="8" max="8" width="10.5" bestFit="1" customWidth="1"/>
    <col min="12" max="12" width="10.5" bestFit="1" customWidth="1"/>
    <col min="13" max="13" width="10.6640625" bestFit="1" customWidth="1"/>
    <col min="14" max="14" width="10.5" bestFit="1" customWidth="1"/>
    <col min="31" max="31" width="10.5" bestFit="1" customWidth="1"/>
  </cols>
  <sheetData>
    <row r="2" spans="4:15" ht="13.5" thickBot="1"/>
    <row r="3" spans="4:15">
      <c r="D3" s="41" t="s">
        <v>23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3"/>
    </row>
    <row r="4" spans="4:15" ht="13.5" thickBot="1"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6"/>
    </row>
    <row r="6" spans="4:15">
      <c r="F6" s="6" t="s">
        <v>24</v>
      </c>
      <c r="G6" s="13">
        <v>3</v>
      </c>
      <c r="H6" t="s">
        <v>0</v>
      </c>
    </row>
    <row r="7" spans="4:15">
      <c r="F7" s="6" t="s">
        <v>25</v>
      </c>
      <c r="G7" s="13">
        <v>18</v>
      </c>
      <c r="H7" t="s">
        <v>0</v>
      </c>
    </row>
    <row r="8" spans="4:15">
      <c r="F8" s="6" t="s">
        <v>26</v>
      </c>
      <c r="G8" s="13">
        <v>1.5</v>
      </c>
      <c r="H8" t="s">
        <v>0</v>
      </c>
    </row>
    <row r="10" spans="4:15" ht="13.5" thickBot="1"/>
    <row r="11" spans="4:15">
      <c r="D11" s="41" t="s">
        <v>22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3"/>
    </row>
    <row r="12" spans="4:15" ht="13.5" thickBot="1">
      <c r="D12" s="44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6"/>
    </row>
    <row r="14" spans="4:15">
      <c r="E14" s="3" t="s">
        <v>13</v>
      </c>
      <c r="F14" s="5" t="s">
        <v>6</v>
      </c>
      <c r="G14" s="5" t="s">
        <v>7</v>
      </c>
      <c r="H14" s="5" t="s">
        <v>8</v>
      </c>
      <c r="I14" s="11" t="s">
        <v>20</v>
      </c>
    </row>
    <row r="15" spans="4:15">
      <c r="E15" s="1" t="s">
        <v>14</v>
      </c>
      <c r="F15" s="13">
        <v>0</v>
      </c>
      <c r="G15" s="13">
        <v>0</v>
      </c>
      <c r="H15" s="13">
        <v>0</v>
      </c>
      <c r="I15" s="14">
        <v>0</v>
      </c>
    </row>
    <row r="16" spans="4:15">
      <c r="E16" s="1" t="s">
        <v>15</v>
      </c>
      <c r="F16" s="13">
        <v>0</v>
      </c>
      <c r="G16" s="13">
        <v>180</v>
      </c>
      <c r="H16" s="13">
        <v>0</v>
      </c>
      <c r="I16" s="14">
        <v>0</v>
      </c>
    </row>
    <row r="17" spans="2:32">
      <c r="E17" s="1" t="s">
        <v>16</v>
      </c>
      <c r="F17" s="13">
        <v>0</v>
      </c>
      <c r="G17" s="13">
        <v>0</v>
      </c>
      <c r="H17" s="13">
        <v>90</v>
      </c>
      <c r="I17" s="14">
        <f>-Busbar_Copper_Width/2</f>
        <v>-9</v>
      </c>
    </row>
    <row r="18" spans="2:32">
      <c r="E18" s="1" t="s">
        <v>17</v>
      </c>
      <c r="F18" s="13">
        <v>0</v>
      </c>
      <c r="G18" s="13">
        <v>0</v>
      </c>
      <c r="H18" s="13">
        <v>-90</v>
      </c>
      <c r="I18" s="14">
        <f>Busbar_Copper_Width/2</f>
        <v>9</v>
      </c>
    </row>
    <row r="19" spans="2:32">
      <c r="E19" s="1" t="s">
        <v>18</v>
      </c>
      <c r="F19" s="13">
        <v>0</v>
      </c>
      <c r="G19" s="13">
        <v>-90</v>
      </c>
      <c r="H19" s="13">
        <v>0</v>
      </c>
      <c r="I19" s="14">
        <f>Busbar_Copper_Thickness</f>
        <v>3</v>
      </c>
    </row>
    <row r="20" spans="2:32">
      <c r="E20" s="8" t="s">
        <v>19</v>
      </c>
      <c r="F20" s="15">
        <v>0</v>
      </c>
      <c r="G20" s="15">
        <v>90</v>
      </c>
      <c r="H20" s="15">
        <v>0</v>
      </c>
      <c r="I20" s="16">
        <f>-Busbar_Copper_Thickness</f>
        <v>-3</v>
      </c>
    </row>
    <row r="21" spans="2:32">
      <c r="E21" s="8">
        <v>0</v>
      </c>
      <c r="F21" s="15">
        <v>0</v>
      </c>
      <c r="G21" s="15">
        <v>0</v>
      </c>
      <c r="H21" s="15">
        <v>0</v>
      </c>
      <c r="I21" s="16">
        <v>0</v>
      </c>
    </row>
    <row r="26" spans="2:32">
      <c r="B26" s="13" t="e">
        <f>#REF!</f>
        <v>#REF!</v>
      </c>
    </row>
    <row r="27" spans="2:32" ht="13.5" thickBot="1"/>
    <row r="28" spans="2:32" ht="13.5" thickBot="1">
      <c r="F28" s="38" t="s">
        <v>27</v>
      </c>
      <c r="G28" s="39"/>
      <c r="H28" s="39"/>
      <c r="I28" s="39"/>
      <c r="J28" s="39"/>
      <c r="K28" s="39"/>
      <c r="L28" s="40"/>
    </row>
    <row r="29" spans="2:32" ht="13.5" thickBot="1">
      <c r="C29" t="s">
        <v>13</v>
      </c>
      <c r="D29" t="s">
        <v>32</v>
      </c>
      <c r="E29" t="s">
        <v>33</v>
      </c>
      <c r="F29" t="s">
        <v>21</v>
      </c>
      <c r="G29" t="s">
        <v>4</v>
      </c>
      <c r="H29" t="s">
        <v>3</v>
      </c>
      <c r="I29" t="s">
        <v>5</v>
      </c>
      <c r="J29" t="s">
        <v>6</v>
      </c>
      <c r="K29" t="s">
        <v>7</v>
      </c>
      <c r="L29" t="s">
        <v>8</v>
      </c>
    </row>
    <row r="30" spans="2:32">
      <c r="B30" t="s">
        <v>34</v>
      </c>
      <c r="C30" s="7" t="s">
        <v>14</v>
      </c>
      <c r="D30" s="13">
        <v>13</v>
      </c>
      <c r="E30" s="9">
        <v>0</v>
      </c>
      <c r="F30" s="17">
        <v>0</v>
      </c>
      <c r="G30" s="18">
        <f t="shared" ref="G30:G37" si="0">E30</f>
        <v>0</v>
      </c>
      <c r="H30" s="19">
        <v>0</v>
      </c>
      <c r="I30" s="20">
        <v>0</v>
      </c>
      <c r="J30" s="26">
        <f>INDEX(PlisDirection_Versus_Transformation[RotX],MATCH($C30,PlisDirection_Versus_Transformation[Direction],0))</f>
        <v>0</v>
      </c>
      <c r="K30" s="9">
        <f>INDEX(PlisDirection_Versus_Transformation[RotY],MATCH($C30,PlisDirection_Versus_Transformation[Direction],0))</f>
        <v>0</v>
      </c>
      <c r="L30" s="27">
        <f>INDEX(PlisDirection_Versus_Transformation[RotZ],MATCH($C30,PlisDirection_Versus_Transformation[Direction],0))</f>
        <v>0</v>
      </c>
      <c r="M30" s="36"/>
      <c r="N30" s="36"/>
      <c r="O30" s="36"/>
      <c r="R30" s="36"/>
      <c r="S30" s="36"/>
      <c r="V30" s="36"/>
      <c r="X30" s="36" cm="1">
        <f t="array" ref="X30:AA33">getTransformation(G35:I35,J35:L35)</f>
        <v>0</v>
      </c>
      <c r="Y30">
        <v>-1</v>
      </c>
      <c r="Z30" s="36">
        <v>0</v>
      </c>
      <c r="AA30">
        <v>31</v>
      </c>
      <c r="AC30" s="36" cm="1">
        <f t="array" ref="AC30:AF33">getTransformation(G33:I33,J33:L33)</f>
        <v>0</v>
      </c>
      <c r="AD30" s="36">
        <v>-1</v>
      </c>
      <c r="AE30">
        <v>0</v>
      </c>
      <c r="AF30">
        <v>71</v>
      </c>
    </row>
    <row r="31" spans="2:32">
      <c r="B31" t="s">
        <v>9</v>
      </c>
      <c r="C31" s="13" t="s">
        <v>19</v>
      </c>
      <c r="D31" s="13">
        <v>30</v>
      </c>
      <c r="E31" s="9">
        <f t="shared" ref="E31:E37" si="1">D30+F31</f>
        <v>10</v>
      </c>
      <c r="F31" s="17">
        <f>INDEX(PlisDirection_Versus_Transformation[Offset length],MATCH($C31,PlisDirection_Versus_Transformation[Direction],0))</f>
        <v>-3</v>
      </c>
      <c r="G31" s="21">
        <f t="shared" si="0"/>
        <v>10</v>
      </c>
      <c r="H31" s="7">
        <v>0</v>
      </c>
      <c r="I31" s="22">
        <v>0</v>
      </c>
      <c r="J31" s="26">
        <f>INDEX(PlisDirection_Versus_Transformation[RotX],MATCH($C31,PlisDirection_Versus_Transformation[Direction],0))</f>
        <v>0</v>
      </c>
      <c r="K31" s="9">
        <f>INDEX(PlisDirection_Versus_Transformation[RotY],MATCH($C31,PlisDirection_Versus_Transformation[Direction],0))</f>
        <v>90</v>
      </c>
      <c r="L31" s="27">
        <f>INDEX(PlisDirection_Versus_Transformation[RotZ],MATCH($C31,PlisDirection_Versus_Transformation[Direction],0))</f>
        <v>0</v>
      </c>
      <c r="M31" s="36"/>
      <c r="N31" s="36"/>
      <c r="O31" s="36"/>
      <c r="R31" s="36"/>
      <c r="V31" s="36"/>
      <c r="X31">
        <v>1</v>
      </c>
      <c r="Y31">
        <v>0</v>
      </c>
      <c r="Z31" s="36">
        <v>0</v>
      </c>
      <c r="AA31">
        <v>0</v>
      </c>
      <c r="AC31">
        <v>1</v>
      </c>
      <c r="AD31" s="36">
        <v>0</v>
      </c>
      <c r="AE31">
        <v>0</v>
      </c>
      <c r="AF31">
        <v>0</v>
      </c>
    </row>
    <row r="32" spans="2:32">
      <c r="B32" t="s">
        <v>10</v>
      </c>
      <c r="C32" s="13" t="s">
        <v>16</v>
      </c>
      <c r="D32" s="13">
        <v>80</v>
      </c>
      <c r="E32" s="9">
        <f t="shared" si="1"/>
        <v>21</v>
      </c>
      <c r="F32" s="17">
        <f>INDEX(PlisDirection_Versus_Transformation[Offset length],MATCH($C32,PlisDirection_Versus_Transformation[Direction],0))</f>
        <v>-9</v>
      </c>
      <c r="G32" s="21">
        <f t="shared" si="0"/>
        <v>21</v>
      </c>
      <c r="H32" s="7">
        <v>0</v>
      </c>
      <c r="I32" s="22">
        <v>0</v>
      </c>
      <c r="J32" s="26">
        <f>INDEX(PlisDirection_Versus_Transformation[RotX],MATCH($C32,PlisDirection_Versus_Transformation[Direction],0))</f>
        <v>0</v>
      </c>
      <c r="K32" s="9">
        <f>INDEX(PlisDirection_Versus_Transformation[RotY],MATCH($C32,PlisDirection_Versus_Transformation[Direction],0))</f>
        <v>0</v>
      </c>
      <c r="L32" s="27">
        <f>INDEX(PlisDirection_Versus_Transformation[RotZ],MATCH($C32,PlisDirection_Versus_Transformation[Direction],0))</f>
        <v>90</v>
      </c>
      <c r="M32" s="36"/>
      <c r="N32" s="36"/>
      <c r="O32" s="36"/>
      <c r="R32" s="36"/>
      <c r="V32" s="36"/>
      <c r="X32">
        <v>0</v>
      </c>
      <c r="Y32">
        <v>0</v>
      </c>
      <c r="Z32" s="36">
        <v>1</v>
      </c>
      <c r="AA32">
        <v>0</v>
      </c>
      <c r="AC32">
        <v>0</v>
      </c>
      <c r="AD32" s="36">
        <v>0</v>
      </c>
      <c r="AE32">
        <v>1</v>
      </c>
      <c r="AF32">
        <v>0</v>
      </c>
    </row>
    <row r="33" spans="2:32">
      <c r="B33" t="s">
        <v>11</v>
      </c>
      <c r="C33" s="13" t="s">
        <v>16</v>
      </c>
      <c r="D33" s="13">
        <v>48</v>
      </c>
      <c r="E33" s="9">
        <f t="shared" si="1"/>
        <v>71</v>
      </c>
      <c r="F33" s="17">
        <f>INDEX(PlisDirection_Versus_Transformation[Offset length],MATCH($C33,PlisDirection_Versus_Transformation[Direction],0))</f>
        <v>-9</v>
      </c>
      <c r="G33" s="21">
        <f t="shared" si="0"/>
        <v>71</v>
      </c>
      <c r="H33" s="7">
        <v>0</v>
      </c>
      <c r="I33" s="22">
        <v>0</v>
      </c>
      <c r="J33" s="26">
        <f>INDEX(PlisDirection_Versus_Transformation[RotX],MATCH($C33,PlisDirection_Versus_Transformation[Direction],0))</f>
        <v>0</v>
      </c>
      <c r="K33" s="9">
        <f>INDEX(PlisDirection_Versus_Transformation[RotY],MATCH($C33,PlisDirection_Versus_Transformation[Direction],0))</f>
        <v>0</v>
      </c>
      <c r="L33" s="27">
        <f>INDEX(PlisDirection_Versus_Transformation[RotZ],MATCH($C33,PlisDirection_Versus_Transformation[Direction],0))</f>
        <v>90</v>
      </c>
      <c r="M33" s="36"/>
      <c r="N33" s="36"/>
      <c r="O33" s="36"/>
      <c r="R33" s="36"/>
      <c r="V33" s="36"/>
      <c r="X33">
        <v>0</v>
      </c>
      <c r="Y33">
        <v>0</v>
      </c>
      <c r="Z33" s="36">
        <v>0</v>
      </c>
      <c r="AA33">
        <v>1</v>
      </c>
      <c r="AC33">
        <v>0</v>
      </c>
      <c r="AD33">
        <v>0</v>
      </c>
      <c r="AE33">
        <v>0</v>
      </c>
      <c r="AF33">
        <v>1</v>
      </c>
    </row>
    <row r="34" spans="2:32">
      <c r="B34" t="s">
        <v>30</v>
      </c>
      <c r="C34" s="13" t="s">
        <v>19</v>
      </c>
      <c r="D34" s="13">
        <v>40</v>
      </c>
      <c r="E34" s="9">
        <f t="shared" si="1"/>
        <v>45</v>
      </c>
      <c r="F34" s="17">
        <f>INDEX(PlisDirection_Versus_Transformation[Offset length],MATCH($C34,PlisDirection_Versus_Transformation[Direction],0))</f>
        <v>-3</v>
      </c>
      <c r="G34" s="21">
        <f t="shared" si="0"/>
        <v>45</v>
      </c>
      <c r="H34" s="7">
        <v>0</v>
      </c>
      <c r="I34" s="22">
        <v>0</v>
      </c>
      <c r="J34" s="26">
        <f>INDEX(PlisDirection_Versus_Transformation[RotX],MATCH($C34,PlisDirection_Versus_Transformation[Direction],0))</f>
        <v>0</v>
      </c>
      <c r="K34" s="9">
        <f>INDEX(PlisDirection_Versus_Transformation[RotY],MATCH($C34,PlisDirection_Versus_Transformation[Direction],0))</f>
        <v>90</v>
      </c>
      <c r="L34" s="27">
        <f>INDEX(PlisDirection_Versus_Transformation[RotZ],MATCH($C34,PlisDirection_Versus_Transformation[Direction],0))</f>
        <v>0</v>
      </c>
      <c r="M34" s="36"/>
      <c r="N34" s="36"/>
      <c r="O34" s="36"/>
      <c r="R34" s="36"/>
      <c r="V34" s="36"/>
    </row>
    <row r="35" spans="2:32">
      <c r="B35" t="s">
        <v>31</v>
      </c>
      <c r="C35" s="13" t="s">
        <v>16</v>
      </c>
      <c r="D35" s="13">
        <v>113</v>
      </c>
      <c r="E35" s="9">
        <f t="shared" si="1"/>
        <v>31</v>
      </c>
      <c r="F35" s="17">
        <f>INDEX(PlisDirection_Versus_Transformation[Offset length],MATCH($C35,PlisDirection_Versus_Transformation[Direction],0))</f>
        <v>-9</v>
      </c>
      <c r="G35" s="21">
        <f t="shared" si="0"/>
        <v>31</v>
      </c>
      <c r="H35" s="7">
        <v>0</v>
      </c>
      <c r="I35" s="22">
        <v>0</v>
      </c>
      <c r="J35" s="26">
        <f>INDEX(PlisDirection_Versus_Transformation[RotX],MATCH($C35,PlisDirection_Versus_Transformation[Direction],0))</f>
        <v>0</v>
      </c>
      <c r="K35" s="9">
        <f>INDEX(PlisDirection_Versus_Transformation[RotY],MATCH($C35,PlisDirection_Versus_Transformation[Direction],0))</f>
        <v>0</v>
      </c>
      <c r="L35" s="27">
        <f>INDEX(PlisDirection_Versus_Transformation[RotZ],MATCH($C35,PlisDirection_Versus_Transformation[Direction],0))</f>
        <v>90</v>
      </c>
      <c r="M35" s="36"/>
      <c r="N35" s="36"/>
      <c r="O35" s="36"/>
      <c r="R35" s="36"/>
    </row>
    <row r="36" spans="2:32">
      <c r="B36" t="s">
        <v>12</v>
      </c>
      <c r="C36" s="13" t="s">
        <v>19</v>
      </c>
      <c r="D36" s="13">
        <v>40</v>
      </c>
      <c r="E36" s="9">
        <f t="shared" si="1"/>
        <v>110</v>
      </c>
      <c r="F36" s="17">
        <f>INDEX(PlisDirection_Versus_Transformation[Offset length],MATCH($C36,PlisDirection_Versus_Transformation[Direction],0))</f>
        <v>-3</v>
      </c>
      <c r="G36" s="21">
        <f t="shared" si="0"/>
        <v>110</v>
      </c>
      <c r="H36" s="7">
        <v>0</v>
      </c>
      <c r="I36" s="22">
        <v>0</v>
      </c>
      <c r="J36" s="26">
        <f>INDEX(PlisDirection_Versus_Transformation[RotX],MATCH($C36,PlisDirection_Versus_Transformation[Direction],0))</f>
        <v>0</v>
      </c>
      <c r="K36" s="9">
        <f>INDEX(PlisDirection_Versus_Transformation[RotY],MATCH($C36,PlisDirection_Versus_Transformation[Direction],0))</f>
        <v>90</v>
      </c>
      <c r="L36" s="27">
        <f>INDEX(PlisDirection_Versus_Transformation[RotZ],MATCH($C36,PlisDirection_Versus_Transformation[Direction],0))</f>
        <v>0</v>
      </c>
      <c r="M36" s="36"/>
      <c r="N36" s="36"/>
      <c r="O36" s="36"/>
    </row>
    <row r="37" spans="2:32" ht="13.5" thickBot="1">
      <c r="B37" t="s">
        <v>29</v>
      </c>
      <c r="C37" s="13" t="s">
        <v>14</v>
      </c>
      <c r="D37" s="13">
        <v>0</v>
      </c>
      <c r="E37" s="9">
        <f t="shared" si="1"/>
        <v>40</v>
      </c>
      <c r="F37" s="17">
        <f>INDEX(PlisDirection_Versus_Transformation[Offset length],MATCH($C37,PlisDirection_Versus_Transformation[Direction],0))</f>
        <v>0</v>
      </c>
      <c r="G37" s="23">
        <f t="shared" si="0"/>
        <v>40</v>
      </c>
      <c r="H37" s="24">
        <v>0</v>
      </c>
      <c r="I37" s="25">
        <v>0</v>
      </c>
      <c r="J37" s="28">
        <f>INDEX(PlisDirection_Versus_Transformation[RotX],MATCH($C37,PlisDirection_Versus_Transformation[Direction],0))</f>
        <v>0</v>
      </c>
      <c r="K37" s="29">
        <f>INDEX(PlisDirection_Versus_Transformation[RotY],MATCH($C37,PlisDirection_Versus_Transformation[Direction],0))</f>
        <v>0</v>
      </c>
      <c r="L37" s="30">
        <f>INDEX(PlisDirection_Versus_Transformation[RotZ],MATCH($C37,PlisDirection_Versus_Transformation[Direction],0))</f>
        <v>0</v>
      </c>
      <c r="M37" s="36"/>
      <c r="N37" s="36"/>
      <c r="O37" s="36"/>
    </row>
    <row r="38" spans="2:32">
      <c r="N38" s="31"/>
      <c r="O38" s="32"/>
    </row>
    <row r="40" spans="2:32" ht="13.5" thickBot="1"/>
    <row r="41" spans="2:32" ht="13.5" thickBot="1">
      <c r="H41" s="38" t="s">
        <v>28</v>
      </c>
      <c r="I41" s="39"/>
      <c r="J41" s="39"/>
      <c r="K41" s="39"/>
      <c r="L41" s="39"/>
      <c r="M41" s="39"/>
      <c r="N41" s="40"/>
    </row>
    <row r="42" spans="2:32" ht="13.5" thickBot="1">
      <c r="E42" t="s">
        <v>6</v>
      </c>
      <c r="F42" t="s">
        <v>7</v>
      </c>
      <c r="G42" t="s">
        <v>8</v>
      </c>
      <c r="H42" t="s">
        <v>4</v>
      </c>
      <c r="I42" t="s">
        <v>3</v>
      </c>
      <c r="J42" t="s">
        <v>5</v>
      </c>
    </row>
    <row r="43" spans="2:32">
      <c r="C43" s="7" t="str">
        <f t="shared" ref="C43:C50" si="2">C30</f>
        <v>X+</v>
      </c>
      <c r="D43" s="13" t="s">
        <v>14</v>
      </c>
      <c r="E43" s="4" cm="1">
        <f t="array" aca="1" ref="E43:G43" ca="1">OFFSET(Sheet1!$F$15:$H$15,MATCH($D43,PlisDirection_Versus_Transformation[Direction],0)-1,0)</f>
        <v>0</v>
      </c>
      <c r="F43" s="4">
        <f ca="1"/>
        <v>0</v>
      </c>
      <c r="G43" s="2">
        <f ca="1"/>
        <v>0</v>
      </c>
      <c r="H43" s="33" cm="1">
        <f t="array" aca="1" ref="H43:K43" ca="1">TRANSPOSE(TransformPoint(,G30:I30,_xlfn.ANCHORARRAY(E43),FALSE))</f>
        <v>0</v>
      </c>
      <c r="I43" s="19">
        <f ca="1"/>
        <v>0</v>
      </c>
      <c r="J43" s="19">
        <f ca="1"/>
        <v>0</v>
      </c>
      <c r="K43" s="20">
        <f ca="1"/>
        <v>1</v>
      </c>
      <c r="L43">
        <v>0</v>
      </c>
      <c r="M43">
        <v>0</v>
      </c>
      <c r="N43">
        <v>0</v>
      </c>
      <c r="P43" s="5" t="s">
        <v>34</v>
      </c>
      <c r="Q43" s="37" t="s">
        <v>35</v>
      </c>
      <c r="R43" s="37"/>
      <c r="S43" s="37"/>
    </row>
    <row r="44" spans="2:32">
      <c r="C44" s="7" t="str">
        <f t="shared" si="2"/>
        <v>Z-</v>
      </c>
      <c r="D44" s="13" t="s">
        <v>14</v>
      </c>
      <c r="E44" s="4" cm="1">
        <f t="array" aca="1" ref="E44:G44" ca="1">OFFSET(Sheet1!$F$15:$H$15,MATCH($D44,PlisDirection_Versus_Transformation[Direction],0)-1,0)</f>
        <v>0</v>
      </c>
      <c r="F44" s="4">
        <f ca="1"/>
        <v>0</v>
      </c>
      <c r="G44" s="2">
        <f ca="1"/>
        <v>0</v>
      </c>
      <c r="H44" s="34" cm="1">
        <f t="array" aca="1" ref="H44:K44" ca="1">TRANSPOSE(TransformPoint(,G31:I31,_xlfn.ANCHORARRAY(E44),FALSE))</f>
        <v>10</v>
      </c>
      <c r="I44" s="7">
        <f ca="1"/>
        <v>0</v>
      </c>
      <c r="J44" s="7">
        <f ca="1"/>
        <v>0</v>
      </c>
      <c r="K44" s="22">
        <f ca="1"/>
        <v>1</v>
      </c>
      <c r="L44" s="10" cm="1">
        <f t="array" aca="1" ref="L44:O44" ca="1">TRANSPOSE(TransformPoint(L43:N43,H44:J44,,FALSE))</f>
        <v>10</v>
      </c>
      <c r="M44">
        <f ca="1"/>
        <v>0</v>
      </c>
      <c r="N44">
        <f ca="1"/>
        <v>0</v>
      </c>
      <c r="O44">
        <f ca="1"/>
        <v>1</v>
      </c>
      <c r="P44" s="4" t="s">
        <v>9</v>
      </c>
      <c r="Q44" s="4">
        <v>10</v>
      </c>
      <c r="R44" s="4">
        <v>0</v>
      </c>
      <c r="S44" s="4">
        <v>0</v>
      </c>
    </row>
    <row r="45" spans="2:32">
      <c r="C45" s="7" t="str">
        <f t="shared" si="2"/>
        <v>Y+</v>
      </c>
      <c r="D45" s="13" t="s">
        <v>19</v>
      </c>
      <c r="E45" s="4" cm="1">
        <f t="array" aca="1" ref="E45:G45" ca="1">OFFSET(Sheet1!$F$15:$H$15,MATCH($D45,PlisDirection_Versus_Transformation[Direction],0)-1,0)</f>
        <v>0</v>
      </c>
      <c r="F45" s="4">
        <f ca="1"/>
        <v>90</v>
      </c>
      <c r="G45" s="2">
        <f ca="1"/>
        <v>0</v>
      </c>
      <c r="H45" s="34" cm="1">
        <f t="array" aca="1" ref="H45:K45" ca="1">TRANSPOSE(TransformPoint(G32:I32,,_xlfn.ANCHORARRAY(E45),FALSE))</f>
        <v>0</v>
      </c>
      <c r="I45" s="7">
        <f ca="1"/>
        <v>0</v>
      </c>
      <c r="J45" s="7">
        <f ca="1"/>
        <v>-21</v>
      </c>
      <c r="K45" s="22">
        <f ca="1"/>
        <v>1</v>
      </c>
      <c r="L45" s="10" cm="1">
        <f t="array" aca="1" ref="L45:O45" ca="1">TRANSPOSE(TransformPoint(L44:N44,H45:J45,,FALSE))</f>
        <v>10</v>
      </c>
      <c r="M45">
        <f ca="1"/>
        <v>0</v>
      </c>
      <c r="N45">
        <f ca="1"/>
        <v>-21</v>
      </c>
      <c r="O45">
        <f ca="1"/>
        <v>1</v>
      </c>
      <c r="P45" s="4" t="s">
        <v>10</v>
      </c>
      <c r="Q45" s="4">
        <v>10</v>
      </c>
      <c r="R45" s="4">
        <v>0</v>
      </c>
      <c r="S45" s="4">
        <v>-21</v>
      </c>
    </row>
    <row r="46" spans="2:32">
      <c r="C46" s="7" t="str">
        <f t="shared" si="2"/>
        <v>Y+</v>
      </c>
      <c r="D46" s="13" t="s">
        <v>16</v>
      </c>
      <c r="E46" s="4" cm="1">
        <f t="array" aca="1" ref="E46:G46" ca="1">OFFSET(Sheet1!$F$15:$H$15,MATCH($D46,PlisDirection_Versus_Transformation[Direction],0)-1,0)</f>
        <v>0</v>
      </c>
      <c r="F46" s="4">
        <f ca="1"/>
        <v>0</v>
      </c>
      <c r="G46" s="2">
        <f ca="1"/>
        <v>90</v>
      </c>
      <c r="H46" s="34" cm="1">
        <f t="array" aca="1" ref="H46:K46" ca="1">TRANSPOSE(TransformPoint(G33:I33,,_xlfn.ANCHORARRAY(E46),FALSE))</f>
        <v>0</v>
      </c>
      <c r="I46" s="7">
        <f ca="1"/>
        <v>71</v>
      </c>
      <c r="J46" s="7">
        <f ca="1"/>
        <v>0</v>
      </c>
      <c r="K46" s="22">
        <f ca="1"/>
        <v>1</v>
      </c>
      <c r="L46" s="10" cm="1">
        <f t="array" aca="1" ref="L46:O46" ca="1">TRANSPOSE(TransformPoint(L45:N45,H46:J46,,FALSE))</f>
        <v>10</v>
      </c>
      <c r="M46">
        <f ca="1"/>
        <v>71</v>
      </c>
      <c r="N46">
        <f ca="1"/>
        <v>-21</v>
      </c>
      <c r="O46">
        <f ca="1"/>
        <v>1</v>
      </c>
      <c r="P46" s="4" t="s">
        <v>11</v>
      </c>
      <c r="Q46" s="4">
        <v>10</v>
      </c>
      <c r="R46" s="4">
        <v>71</v>
      </c>
      <c r="S46" s="4">
        <v>-21</v>
      </c>
    </row>
    <row r="47" spans="2:32">
      <c r="C47" s="7" t="str">
        <f t="shared" si="2"/>
        <v>Z-</v>
      </c>
      <c r="D47" s="13" t="s">
        <v>18</v>
      </c>
      <c r="E47" s="4" cm="1">
        <f t="array" aca="1" ref="E47:G47" ca="1">OFFSET(Sheet1!$F$15:$H$15,MATCH($D47,PlisDirection_Versus_Transformation[Direction],0)-1,0)</f>
        <v>0</v>
      </c>
      <c r="F47" s="4">
        <f ca="1"/>
        <v>-90</v>
      </c>
      <c r="G47" s="2">
        <f ca="1"/>
        <v>0</v>
      </c>
      <c r="H47" s="34" cm="1">
        <f t="array" aca="1" ref="H47:K47" ca="1">TRANSPOSE(TransformPoint(G34:I34,,_xlfn.ANCHORARRAY(E47),FALSE))</f>
        <v>0</v>
      </c>
      <c r="I47" s="7">
        <f ca="1"/>
        <v>0</v>
      </c>
      <c r="J47" s="7">
        <f ca="1"/>
        <v>45</v>
      </c>
      <c r="K47" s="22">
        <f ca="1"/>
        <v>1</v>
      </c>
      <c r="L47" s="10" cm="1">
        <f t="array" aca="1" ref="L47:O47" ca="1">TRANSPOSE(TransformPoint(L46:N46,H47:J47,,FALSE))</f>
        <v>10</v>
      </c>
      <c r="M47">
        <f ca="1"/>
        <v>71</v>
      </c>
      <c r="N47">
        <f ca="1"/>
        <v>24</v>
      </c>
      <c r="O47">
        <f ca="1"/>
        <v>1</v>
      </c>
      <c r="P47" s="4" t="s">
        <v>30</v>
      </c>
      <c r="Q47" s="4">
        <v>10</v>
      </c>
      <c r="R47" s="4">
        <v>71</v>
      </c>
      <c r="S47" s="4">
        <v>24</v>
      </c>
    </row>
    <row r="48" spans="2:32">
      <c r="C48" s="7" t="str">
        <f t="shared" si="2"/>
        <v>Y+</v>
      </c>
      <c r="D48" s="13" t="s">
        <v>15</v>
      </c>
      <c r="E48" s="4" cm="1">
        <f t="array" aca="1" ref="E48:G48" ca="1">OFFSET(Sheet1!$F$15:$H$15,MATCH($D48,PlisDirection_Versus_Transformation[Direction],0)-1,0)</f>
        <v>0</v>
      </c>
      <c r="F48" s="4">
        <f ca="1"/>
        <v>180</v>
      </c>
      <c r="G48" s="2">
        <f ca="1"/>
        <v>0</v>
      </c>
      <c r="H48" s="34" cm="1">
        <f t="array" aca="1" ref="H48:K48" ca="1">TRANSPOSE(TransformPoint(G35:I35,,_xlfn.ANCHORARRAY(E48),FALSE))</f>
        <v>-31</v>
      </c>
      <c r="I48" s="7">
        <f ca="1"/>
        <v>0</v>
      </c>
      <c r="J48" s="7">
        <f ca="1"/>
        <v>0</v>
      </c>
      <c r="K48" s="22">
        <f ca="1"/>
        <v>1</v>
      </c>
      <c r="L48" s="10" cm="1">
        <f t="array" aca="1" ref="L48:O48" ca="1">TRANSPOSE(TransformPoint(L47:N47,H48:J48,,FALSE))</f>
        <v>-21</v>
      </c>
      <c r="M48">
        <f ca="1"/>
        <v>71</v>
      </c>
      <c r="N48">
        <f ca="1"/>
        <v>24</v>
      </c>
      <c r="O48">
        <f ca="1"/>
        <v>1</v>
      </c>
      <c r="P48" s="4" t="s">
        <v>31</v>
      </c>
      <c r="Q48" s="4">
        <v>-21</v>
      </c>
      <c r="R48" s="4">
        <v>71</v>
      </c>
      <c r="S48" s="4">
        <v>24</v>
      </c>
    </row>
    <row r="49" spans="3:19">
      <c r="C49" s="7" t="str">
        <f t="shared" si="2"/>
        <v>Z-</v>
      </c>
      <c r="D49" s="13" t="s">
        <v>17</v>
      </c>
      <c r="E49" s="4" cm="1">
        <f t="array" aca="1" ref="E49:G49" ca="1">OFFSET(Sheet1!$F$15:$H$15,MATCH($D49,PlisDirection_Versus_Transformation[Direction],0)-1,0)</f>
        <v>0</v>
      </c>
      <c r="F49" s="4">
        <f ca="1"/>
        <v>0</v>
      </c>
      <c r="G49" s="2">
        <f ca="1"/>
        <v>-90</v>
      </c>
      <c r="H49" s="34" cm="1">
        <f t="array" aca="1" ref="H49:K49" ca="1">TRANSPOSE(TransformPoint(G36:I36,,_xlfn.ANCHORARRAY(E49),FALSE))</f>
        <v>0</v>
      </c>
      <c r="I49" s="7">
        <f ca="1"/>
        <v>-110</v>
      </c>
      <c r="J49" s="7">
        <f ca="1"/>
        <v>0</v>
      </c>
      <c r="K49" s="22">
        <f ca="1"/>
        <v>1</v>
      </c>
      <c r="L49" s="10" cm="1">
        <f t="array" aca="1" ref="L49:O49" ca="1">TRANSPOSE(TransformPoint(L48:N48,H49:J49,,FALSE))</f>
        <v>-21</v>
      </c>
      <c r="M49">
        <f ca="1"/>
        <v>-39</v>
      </c>
      <c r="N49">
        <f ca="1"/>
        <v>24</v>
      </c>
      <c r="O49">
        <f ca="1"/>
        <v>1</v>
      </c>
      <c r="P49" s="4" t="s">
        <v>12</v>
      </c>
      <c r="Q49" s="4">
        <v>-21</v>
      </c>
      <c r="R49" s="4">
        <v>-39</v>
      </c>
      <c r="S49" s="4">
        <v>24</v>
      </c>
    </row>
    <row r="50" spans="3:19" ht="13.5" thickBot="1">
      <c r="C50" s="7" t="str">
        <f t="shared" si="2"/>
        <v>X+</v>
      </c>
      <c r="D50" s="13" t="s">
        <v>19</v>
      </c>
      <c r="E50" s="4" cm="1">
        <f t="array" aca="1" ref="E50:G50" ca="1">OFFSET(Sheet1!$F$15:$H$15,MATCH($D50,PlisDirection_Versus_Transformation[Direction],0)-1,0)</f>
        <v>0</v>
      </c>
      <c r="F50" s="4">
        <f ca="1"/>
        <v>90</v>
      </c>
      <c r="G50" s="2">
        <f ca="1"/>
        <v>0</v>
      </c>
      <c r="H50" s="35" cm="1">
        <f t="array" aca="1" ref="H50:K50" ca="1">TRANSPOSE(TransformPoint(G37:I37,,_xlfn.ANCHORARRAY(E50),FALSE))</f>
        <v>0</v>
      </c>
      <c r="I50" s="24">
        <f ca="1"/>
        <v>0</v>
      </c>
      <c r="J50" s="24">
        <f ca="1"/>
        <v>-40</v>
      </c>
      <c r="K50" s="25">
        <f ca="1"/>
        <v>1</v>
      </c>
      <c r="L50" s="10" cm="1">
        <f t="array" aca="1" ref="L50:O50" ca="1">TRANSPOSE(TransformPoint(L49:N49,H50:J50,,FALSE))</f>
        <v>-21</v>
      </c>
      <c r="M50">
        <f ca="1"/>
        <v>-39</v>
      </c>
      <c r="N50">
        <f ca="1"/>
        <v>-16</v>
      </c>
      <c r="O50">
        <f ca="1"/>
        <v>1</v>
      </c>
      <c r="P50" s="4" t="s">
        <v>29</v>
      </c>
      <c r="Q50" s="4">
        <v>-21</v>
      </c>
      <c r="R50" s="4">
        <v>-39</v>
      </c>
      <c r="S50" s="4">
        <v>-16</v>
      </c>
    </row>
    <row r="57" spans="3:19">
      <c r="H57" s="10" t="e" cm="1">
        <f t="array" ref="H57">ChainTransformationPoint(G30:I30,,J31:L37,FALSE)</f>
        <v>#VALUE!</v>
      </c>
    </row>
    <row r="62" spans="3:19">
      <c r="H62" cm="1">
        <f t="array" ref="H62:K65">getTransformation(G31:I31,J31:L31)</f>
        <v>0</v>
      </c>
      <c r="I62">
        <v>0</v>
      </c>
      <c r="J62">
        <v>1</v>
      </c>
      <c r="K62">
        <v>10</v>
      </c>
    </row>
    <row r="63" spans="3:19">
      <c r="H63">
        <v>0</v>
      </c>
      <c r="I63">
        <v>1</v>
      </c>
      <c r="J63">
        <v>0</v>
      </c>
      <c r="K63">
        <v>0</v>
      </c>
    </row>
    <row r="64" spans="3:19">
      <c r="H64">
        <v>-1</v>
      </c>
      <c r="I64">
        <v>0</v>
      </c>
      <c r="J64">
        <v>0</v>
      </c>
      <c r="K64">
        <v>0</v>
      </c>
    </row>
    <row r="65" spans="8:30">
      <c r="H65">
        <v>0</v>
      </c>
      <c r="I65">
        <v>0</v>
      </c>
      <c r="J65">
        <v>0</v>
      </c>
      <c r="K65">
        <v>1</v>
      </c>
    </row>
    <row r="72" spans="8:30">
      <c r="AD72" s="12"/>
    </row>
  </sheetData>
  <mergeCells count="5">
    <mergeCell ref="Q43:S43"/>
    <mergeCell ref="F28:L28"/>
    <mergeCell ref="H41:N41"/>
    <mergeCell ref="D11:O12"/>
    <mergeCell ref="D3:O4"/>
  </mergeCells>
  <conditionalFormatting sqref="Q44:S50">
    <cfRule type="cellIs" dxfId="10" priority="1" operator="equal">
      <formula>L44</formula>
    </cfRule>
  </conditionalFormatting>
  <dataValidations disablePrompts="1" count="1">
    <dataValidation type="list" allowBlank="1" showInputMessage="1" showErrorMessage="1" sqref="C31:C37 D43:D50" xr:uid="{A0C1F74D-D3CA-4A55-8B9D-004F3349287E}">
      <formula1>$D$98:$D$104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E4B7-32C3-4F58-AA4A-DEB8E0B2169C}">
  <sheetPr codeName="Sheet1"/>
  <dimension ref="C4:G11"/>
  <sheetViews>
    <sheetView tabSelected="1" workbookViewId="0">
      <selection activeCell="G17" sqref="G17"/>
    </sheetView>
  </sheetViews>
  <sheetFormatPr defaultRowHeight="12.75"/>
  <cols>
    <col min="3" max="3" width="9.6640625" bestFit="1" customWidth="1"/>
  </cols>
  <sheetData>
    <row r="4" spans="3:7">
      <c r="C4" t="s">
        <v>2</v>
      </c>
      <c r="D4" t="s">
        <v>1</v>
      </c>
      <c r="F4" t="s">
        <v>36</v>
      </c>
      <c r="G4" t="s">
        <v>37</v>
      </c>
    </row>
    <row r="5" spans="3:7">
      <c r="C5">
        <v>0</v>
      </c>
      <c r="D5">
        <v>0</v>
      </c>
      <c r="G5">
        <f>0</f>
        <v>0</v>
      </c>
    </row>
    <row r="6" spans="3:7">
      <c r="C6">
        <v>1</v>
      </c>
      <c r="D6">
        <v>-1</v>
      </c>
      <c r="G6">
        <v>0</v>
      </c>
    </row>
    <row r="7" spans="3:7">
      <c r="C7">
        <v>1</v>
      </c>
      <c r="D7">
        <v>1</v>
      </c>
      <c r="G7">
        <v>0</v>
      </c>
    </row>
    <row r="8" spans="3:7">
      <c r="C8">
        <v>0</v>
      </c>
      <c r="D8">
        <v>0</v>
      </c>
      <c r="G8">
        <v>2</v>
      </c>
    </row>
    <row r="11" spans="3:7">
      <c r="C11" t="e" cm="1">
        <f t="array" ref="C11">RangeFromQuaternion(QuaternionFromRange())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1E7807-5CD0-409F-9B4B-0120AC873C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Quaternion tester</vt:lpstr>
      <vt:lpstr>Busbar_Copper_Thickness</vt:lpstr>
      <vt:lpstr>Busbar_Copper_Width</vt:lpstr>
      <vt:lpstr>Busbar_Isolant_Thickness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LEROY Pierre</dc:creator>
  <cp:keywords/>
  <cp:lastModifiedBy>LEROY, Pierre</cp:lastModifiedBy>
  <dcterms:created xsi:type="dcterms:W3CDTF">2018-10-22T08:15:02Z</dcterms:created>
  <dcterms:modified xsi:type="dcterms:W3CDTF">2024-02-27T17:03:30Z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ression_Export_Dev_1" visible="true" label="Expression_Export_Dev" imageMso="ListMacros" onAction="Expression_Export_Dev"/>
      </mso:documentControls>
    </mso:qat>
  </mso:ribbon>
</mso:customUI>
</file>