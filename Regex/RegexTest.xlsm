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W:\Utilisateurs\LeroyP\05_Automatisation de taches\02_VBA\Renamed files from audros\"/>
    </mc:Choice>
  </mc:AlternateContent>
  <bookViews>
    <workbookView xWindow="0" yWindow="0" windowWidth="28770" windowHeight="11070" activeTab="1"/>
  </bookViews>
  <sheets>
    <sheet name="Sheet1" sheetId="3" r:id="rId1"/>
    <sheet name="Files In Test Folder" sheetId="2" r:id="rId2"/>
  </sheets>
  <functionGroups builtInGroupCount="18"/>
  <definedNames>
    <definedName name="ExternalData_1" localSheetId="1" hidden="1">'Files In Test Folder'!$A$1:$A$33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2" l="1"/>
  <c r="B48" i="2"/>
  <c r="K41" i="2" l="1"/>
  <c r="J41" i="2"/>
  <c r="K45" i="2"/>
  <c r="K46" i="2"/>
  <c r="K43" i="2"/>
  <c r="K47" i="2"/>
  <c r="K49" i="2"/>
  <c r="K50" i="2"/>
  <c r="K44" i="2"/>
  <c r="K51" i="2"/>
  <c r="K42" i="2"/>
  <c r="G50" i="2"/>
  <c r="I51" i="2"/>
  <c r="E50" i="2"/>
  <c r="F50" i="2"/>
  <c r="I50" i="2"/>
  <c r="J51" i="2"/>
  <c r="J50" i="2"/>
  <c r="E51" i="2"/>
  <c r="F51" i="2"/>
  <c r="G51" i="2"/>
  <c r="D51" i="2"/>
  <c r="B51" i="2"/>
  <c r="B60" i="2"/>
  <c r="B61" i="2" s="1"/>
  <c r="B62" i="2" s="1"/>
  <c r="B63" i="2" s="1"/>
  <c r="B59" i="2"/>
  <c r="B50" i="2"/>
  <c r="J42" i="2"/>
  <c r="B64" i="2"/>
  <c r="B65" i="2"/>
  <c r="B66" i="2"/>
  <c r="B67" i="2"/>
  <c r="B68" i="2" l="1"/>
  <c r="I41" i="2"/>
  <c r="H41" i="2"/>
  <c r="G41" i="2"/>
  <c r="F41" i="2"/>
  <c r="E41" i="2"/>
  <c r="D41" i="2"/>
  <c r="I43" i="2"/>
  <c r="I42" i="2"/>
  <c r="D49" i="2"/>
  <c r="B49" i="2"/>
  <c r="D47" i="2"/>
  <c r="F43" i="2"/>
  <c r="G43" i="2"/>
  <c r="D46" i="2"/>
  <c r="D45" i="2"/>
  <c r="D43" i="2"/>
  <c r="G42" i="2"/>
  <c r="F42" i="2"/>
  <c r="D42" i="2"/>
  <c r="B46" i="2"/>
  <c r="B45" i="2"/>
  <c r="B42" i="2"/>
  <c r="A37" i="2"/>
  <c r="A39" i="2"/>
  <c r="A38" i="2"/>
  <c r="D44" i="2"/>
  <c r="E43" i="2"/>
  <c r="B44" i="2"/>
  <c r="E42" i="2"/>
  <c r="B69" i="2"/>
  <c r="I46" i="2"/>
  <c r="G44" i="2"/>
  <c r="I45" i="2"/>
  <c r="E47" i="2"/>
  <c r="G49" i="2"/>
  <c r="J45" i="2"/>
  <c r="F47" i="2"/>
  <c r="I47" i="2"/>
  <c r="I44" i="2"/>
  <c r="E46" i="2"/>
  <c r="G47" i="2"/>
  <c r="I49" i="2"/>
  <c r="J44" i="2"/>
  <c r="F46" i="2"/>
  <c r="E45" i="2"/>
  <c r="G46" i="2"/>
  <c r="F49" i="2"/>
  <c r="J49" i="2"/>
  <c r="F45" i="2"/>
  <c r="J47" i="2"/>
  <c r="E44" i="2"/>
  <c r="G45" i="2"/>
  <c r="E49" i="2"/>
  <c r="F44" i="2"/>
  <c r="J46" i="2"/>
  <c r="D50" i="2"/>
  <c r="H49" i="2"/>
  <c r="B47" i="2"/>
  <c r="H46" i="2"/>
  <c r="H42" i="2"/>
  <c r="H44" i="2"/>
  <c r="H50" i="2"/>
  <c r="H51" i="2"/>
  <c r="H47" i="2"/>
  <c r="H43" i="2"/>
  <c r="H45" i="2"/>
  <c r="C20" i="2"/>
  <c r="B22" i="2"/>
  <c r="B17" i="2"/>
  <c r="C29" i="2"/>
  <c r="C31" i="2"/>
  <c r="B31" i="2"/>
  <c r="C2" i="2"/>
  <c r="B27" i="2"/>
  <c r="B6" i="2"/>
  <c r="C19" i="2"/>
  <c r="B33" i="2"/>
  <c r="B30" i="2"/>
  <c r="C8" i="2"/>
  <c r="C9" i="2"/>
  <c r="D6" i="2"/>
  <c r="B4" i="2"/>
  <c r="D4" i="2" s="1"/>
  <c r="E4" i="2" s="1"/>
  <c r="C28" i="2"/>
  <c r="C33" i="2"/>
  <c r="B10" i="2"/>
  <c r="D10" i="2" s="1"/>
  <c r="C6" i="2"/>
  <c r="D22" i="2"/>
  <c r="E22" i="2" s="1"/>
  <c r="F22" i="2" s="1"/>
  <c r="C13" i="2"/>
  <c r="B12" i="2"/>
  <c r="D12" i="2" s="1"/>
  <c r="B25" i="2"/>
  <c r="C14" i="2"/>
  <c r="B5" i="2"/>
  <c r="C22" i="2"/>
  <c r="B16" i="2"/>
  <c r="C17" i="2"/>
  <c r="C18" i="2"/>
  <c r="C27" i="2"/>
  <c r="B7" i="2"/>
  <c r="D7" i="2" s="1"/>
  <c r="C10" i="2"/>
  <c r="C15" i="2"/>
  <c r="B26" i="2"/>
  <c r="D33" i="2"/>
  <c r="B32" i="2"/>
  <c r="D27" i="2"/>
  <c r="B28" i="2"/>
  <c r="B9" i="2"/>
  <c r="C11" i="2"/>
  <c r="C16" i="2"/>
  <c r="C5" i="2"/>
  <c r="B2" i="2"/>
  <c r="D16" i="2"/>
  <c r="C26" i="2"/>
  <c r="D9" i="2"/>
  <c r="E12" i="2"/>
  <c r="E27" i="2"/>
  <c r="C4" i="2"/>
  <c r="B20" i="2"/>
  <c r="D20" i="2" s="1"/>
  <c r="C30" i="2"/>
  <c r="B29" i="2"/>
  <c r="D29" i="2" s="1"/>
  <c r="E29" i="2" s="1"/>
  <c r="B15" i="2"/>
  <c r="D15" i="2" s="1"/>
  <c r="B19" i="2"/>
  <c r="D19" i="2" s="1"/>
  <c r="D17" i="2"/>
  <c r="E17" i="2" s="1"/>
  <c r="B13" i="2"/>
  <c r="D13" i="2" s="1"/>
  <c r="C12" i="2"/>
  <c r="B14" i="2"/>
  <c r="D14" i="2" s="1"/>
  <c r="E14" i="2" s="1"/>
  <c r="D30" i="2"/>
  <c r="C3" i="2"/>
  <c r="C24" i="2"/>
  <c r="F29" i="2"/>
  <c r="E7" i="2"/>
  <c r="F7" i="2" s="1"/>
  <c r="G29" i="2"/>
  <c r="H29" i="2" s="1"/>
  <c r="G7" i="2"/>
  <c r="H7" i="2" s="1"/>
  <c r="B3" i="2"/>
  <c r="D3" i="2" s="1"/>
  <c r="E3" i="2" s="1"/>
  <c r="B21" i="2"/>
  <c r="D21" i="2" s="1"/>
  <c r="E21" i="2" s="1"/>
  <c r="F21" i="2" s="1"/>
  <c r="C23" i="2"/>
  <c r="C32" i="2"/>
  <c r="C21" i="2"/>
  <c r="C7" i="2"/>
  <c r="I7" i="2" s="1"/>
  <c r="B23" i="2"/>
  <c r="D23" i="2" s="1"/>
  <c r="E23" i="2" s="1"/>
  <c r="B11" i="2"/>
  <c r="B24" i="2"/>
  <c r="B8" i="2"/>
  <c r="D8" i="2" s="1"/>
  <c r="D25" i="2"/>
  <c r="E16" i="2"/>
  <c r="B18" i="2"/>
  <c r="D11" i="2"/>
  <c r="C25" i="2"/>
  <c r="E15" i="2"/>
  <c r="F15" i="2" s="1"/>
  <c r="G15" i="2" s="1"/>
  <c r="H15" i="2" l="1"/>
  <c r="G21" i="2"/>
  <c r="H21" i="2" s="1"/>
  <c r="E20" i="2"/>
  <c r="D26" i="2"/>
  <c r="F12" i="2"/>
  <c r="G12" i="2" s="1"/>
  <c r="H12" i="2" s="1"/>
  <c r="I12" i="2" s="1"/>
  <c r="E9" i="2"/>
  <c r="D2" i="2"/>
  <c r="D24" i="2"/>
  <c r="D31" i="2"/>
  <c r="E31" i="2" s="1"/>
  <c r="F31" i="2" s="1"/>
  <c r="G31" i="2" s="1"/>
  <c r="H31" i="2" s="1"/>
  <c r="I31" i="2" s="1"/>
  <c r="E11" i="2"/>
  <c r="F11" i="2" s="1"/>
  <c r="G11" i="2" s="1"/>
  <c r="H11" i="2" s="1"/>
  <c r="I11" i="2" s="1"/>
  <c r="F3" i="2"/>
  <c r="F27" i="2"/>
  <c r="D5" i="2"/>
  <c r="E5" i="2" s="1"/>
  <c r="E30" i="2"/>
  <c r="F30" i="2" s="1"/>
  <c r="G30" i="2" s="1"/>
  <c r="H30" i="2" s="1"/>
  <c r="I30" i="2" s="1"/>
  <c r="F4" i="2"/>
  <c r="G4" i="2" s="1"/>
  <c r="H4" i="2" s="1"/>
  <c r="I4" i="2" s="1"/>
  <c r="E6" i="2"/>
  <c r="F6" i="2" s="1"/>
  <c r="G6" i="2" s="1"/>
  <c r="H6" i="2" s="1"/>
  <c r="I6" i="2" s="1"/>
  <c r="E19" i="2"/>
  <c r="F19" i="2" s="1"/>
  <c r="G19" i="2" s="1"/>
  <c r="H19" i="2" s="1"/>
  <c r="D18" i="2"/>
  <c r="E18" i="2" s="1"/>
  <c r="I29" i="2"/>
  <c r="G22" i="2"/>
  <c r="E10" i="2"/>
  <c r="D28" i="2"/>
  <c r="E28" i="2" s="1"/>
  <c r="F28" i="2" s="1"/>
  <c r="E33" i="2"/>
  <c r="F16" i="2"/>
  <c r="E8" i="2"/>
  <c r="F8" i="2" s="1"/>
  <c r="F17" i="2"/>
  <c r="E25" i="2"/>
  <c r="F25" i="2" s="1"/>
  <c r="F14" i="2"/>
  <c r="E13" i="2"/>
  <c r="F13" i="2" s="1"/>
  <c r="D32" i="2"/>
  <c r="E32" i="2" s="1"/>
  <c r="F23" i="2"/>
  <c r="G23" i="2" l="1"/>
  <c r="F33" i="2"/>
  <c r="G33" i="2" s="1"/>
  <c r="H33" i="2" s="1"/>
  <c r="I33" i="2" s="1"/>
  <c r="G3" i="2"/>
  <c r="H3" i="2" s="1"/>
  <c r="I3" i="2" s="1"/>
  <c r="F9" i="2"/>
  <c r="G9" i="2" s="1"/>
  <c r="H9" i="2" s="1"/>
  <c r="I9" i="2" s="1"/>
  <c r="F18" i="2"/>
  <c r="G18" i="2" s="1"/>
  <c r="I19" i="2"/>
  <c r="I21" i="2"/>
  <c r="I15" i="2"/>
  <c r="F32" i="2"/>
  <c r="G28" i="2"/>
  <c r="E24" i="2"/>
  <c r="F24" i="2" s="1"/>
  <c r="G24" i="2" s="1"/>
  <c r="H24" i="2" s="1"/>
  <c r="I24" i="2" s="1"/>
  <c r="E26" i="2"/>
  <c r="F26" i="2" s="1"/>
  <c r="G26" i="2" s="1"/>
  <c r="H26" i="2" s="1"/>
  <c r="G8" i="2"/>
  <c r="G16" i="2"/>
  <c r="H16" i="2" s="1"/>
  <c r="I16" i="2" s="1"/>
  <c r="G27" i="2"/>
  <c r="G13" i="2"/>
  <c r="F10" i="2"/>
  <c r="G10" i="2" s="1"/>
  <c r="H10" i="2" s="1"/>
  <c r="I10" i="2" s="1"/>
  <c r="E2" i="2"/>
  <c r="F2" i="2" s="1"/>
  <c r="G2" i="2" s="1"/>
  <c r="H2" i="2" s="1"/>
  <c r="I2" i="2" s="1"/>
  <c r="H22" i="2"/>
  <c r="G17" i="2"/>
  <c r="F20" i="2"/>
  <c r="G20" i="2" s="1"/>
  <c r="H20" i="2" s="1"/>
  <c r="I20" i="2" s="1"/>
  <c r="F5" i="2"/>
  <c r="G5" i="2" s="1"/>
  <c r="H5" i="2" s="1"/>
  <c r="I5" i="2" s="1"/>
  <c r="G14" i="2"/>
  <c r="G25" i="2"/>
  <c r="H25" i="2" l="1"/>
  <c r="H28" i="2"/>
  <c r="H27" i="2"/>
  <c r="I26" i="2"/>
  <c r="H14" i="2"/>
  <c r="I14" i="2" s="1"/>
  <c r="G32" i="2"/>
  <c r="H32" i="2" s="1"/>
  <c r="H8" i="2"/>
  <c r="I8" i="2" s="1"/>
  <c r="H17" i="2"/>
  <c r="H18" i="2"/>
  <c r="H23" i="2"/>
  <c r="I22" i="2"/>
  <c r="H13" i="2"/>
  <c r="I13" i="2" s="1"/>
  <c r="I23" i="2" l="1"/>
  <c r="I27" i="2"/>
  <c r="I18" i="2"/>
  <c r="I28" i="2"/>
  <c r="I25" i="2"/>
  <c r="I17" i="2"/>
  <c r="I32" i="2"/>
</calcChain>
</file>

<file path=xl/connections.xml><?xml version="1.0" encoding="utf-8"?>
<connections xmlns="http://schemas.openxmlformats.org/spreadsheetml/2006/main">
  <connection id="1" keepAlive="1" name="Query - test files" description="Connection to the 'test files' query in the workbook." type="5" refreshedVersion="6" background="1">
    <dbPr connection="Provider=Microsoft.Mashup.OleDb.1;Data Source=$Workbook$;Location=test files;Extended Properties=&quot;&quot;" command="SELECT * FROM [test files]"/>
  </connection>
</connections>
</file>

<file path=xl/sharedStrings.xml><?xml version="1.0" encoding="utf-8"?>
<sst xmlns="http://schemas.openxmlformats.org/spreadsheetml/2006/main" count="95" uniqueCount="77">
  <si>
    <t>Name</t>
  </si>
  <si>
    <t>Regex 2nd</t>
  </si>
  <si>
    <t>( )</t>
  </si>
  <si>
    <t>1 retiré tout les espaces</t>
  </si>
  <si>
    <t>2 stocker l'extension par fichier</t>
  </si>
  <si>
    <t>Regex pattern</t>
  </si>
  <si>
    <t>Replace by</t>
  </si>
  <si>
    <t>\s</t>
  </si>
  <si>
    <t>Regex 4th</t>
  </si>
  <si>
    <t>.+\.</t>
  </si>
  <si>
    <t>3 retirer .idw &amp; .dwf &amp; .Nomenclature.fr</t>
  </si>
  <si>
    <t>Regex 5th</t>
  </si>
  <si>
    <t>(.*_)*</t>
  </si>
  <si>
    <t>Reverse</t>
  </si>
  <si>
    <t xml:space="preserve">$1 </t>
  </si>
  <si>
    <t>((\d){3})</t>
  </si>
  <si>
    <t>Regex 8th</t>
  </si>
  <si>
    <t>Regex 1st</t>
  </si>
  <si>
    <t>Regex3th</t>
  </si>
  <si>
    <t>4 retirer (_[a-zA-Z]-Feuille-[0-9])</t>
  </si>
  <si>
    <t>6 reverse string</t>
  </si>
  <si>
    <t>7 add space every 3 digit and reverse</t>
  </si>
  <si>
    <t>8 remove first space</t>
  </si>
  <si>
    <t>5 retirer tout avant _</t>
  </si>
  <si>
    <t>000100026A.dwg</t>
  </si>
  <si>
    <t>(_[a-zA-Z]-([A-Za-z]*)-([0-9]))</t>
  </si>
  <si>
    <t>Regex 7th</t>
  </si>
  <si>
    <t>(\.idw)|(\.dwf)|(\.dwg)|(\.pdf)|(\.Nomenclature\.fr)</t>
  </si>
  <si>
    <t>1207204004.idw.dwf</t>
  </si>
  <si>
    <t>1684401006.idw.dwf</t>
  </si>
  <si>
    <t>1684401007.idw.dwf</t>
  </si>
  <si>
    <t>2489411050.idw.dwf</t>
  </si>
  <si>
    <t>2489411051.idw.dwf</t>
  </si>
  <si>
    <t>2491401005.idw.dwf</t>
  </si>
  <si>
    <t>2491401006.idw.dwf</t>
  </si>
  <si>
    <t>2602 400 000_D-Feuille-1.pdf</t>
  </si>
  <si>
    <t>2602 400 000_D-Feuille-2.pdf</t>
  </si>
  <si>
    <t>2602 400 001_D-Feuille-1.pdf</t>
  </si>
  <si>
    <t>2602 400 001_D-Feuille-2.pdf</t>
  </si>
  <si>
    <t>2602 400 001_D-Feuille-3.pdf</t>
  </si>
  <si>
    <t>2602 400 001_D-Feuille-4.pdf</t>
  </si>
  <si>
    <t>2602 400 001_D-Feuille-5.pdf</t>
  </si>
  <si>
    <t>2602 400 003_D-Feuille-1.pdf</t>
  </si>
  <si>
    <t>2602 401 002_D-Feuille-1.pdf</t>
  </si>
  <si>
    <t>2534 452 000_D-Compression Joints-2.pdf</t>
  </si>
  <si>
    <t>990403003.pdf</t>
  </si>
  <si>
    <t>990403003_2.pdf</t>
  </si>
  <si>
    <t>990403003_3.pdf</t>
  </si>
  <si>
    <t>2455 350 002.pdf</t>
  </si>
  <si>
    <t>2455350002.idw.dwf</t>
  </si>
  <si>
    <t>2528 350 000.Nomenclature.Anglais.pdf</t>
  </si>
  <si>
    <t>2528 350 000.Nomenclature.fr.pdf</t>
  </si>
  <si>
    <t>2528 350 001_D-Feuille-1.pdf</t>
  </si>
  <si>
    <t>2528 400 000.Nomenclature.Anglais.pdf</t>
  </si>
  <si>
    <t>2528 400 000.Nomenclature.fr.pdf</t>
  </si>
  <si>
    <t>2528 400 000_D-Feuille-1.pdf</t>
  </si>
  <si>
    <t>2528350000.idw.pdf</t>
  </si>
  <si>
    <t>2538 519 001_D-Feuille-1.pdf</t>
  </si>
  <si>
    <t>2538 519 002_D-Feuille-1.pdf</t>
  </si>
  <si>
    <t>(\d{3,4}( )*){3}(\.[a-zA-Z]*)*(.dwf)</t>
  </si>
  <si>
    <t>(\d{3,4}( )*){3}(_D-)([A-Za-z]+)(-)([0-9]+)(.pdf)</t>
  </si>
  <si>
    <t>(\d{3,4}( )*){3}\.(Nomenclature)\.([A-Za-z]+)(.pdf)</t>
  </si>
  <si>
    <t>000100026A.pdf</t>
  </si>
  <si>
    <t>(\d{3,4}( )*){3}([a-zA-Z])(\.[a-zA-Z]+)*(.pdf)</t>
  </si>
  <si>
    <t>(\d{3,4}\s*){3}(_D-)(.*)(-[0-9])(.pdf)</t>
  </si>
  <si>
    <t>2528200000.idw_3.pdf</t>
  </si>
  <si>
    <t>(\.[a-zA-Z]+)*(_[0-9]+)</t>
  </si>
  <si>
    <t>(\d{3,4}( )*){3}</t>
  </si>
  <si>
    <t>idwNumber</t>
  </si>
  <si>
    <t>oldFileName</t>
  </si>
  <si>
    <t>reg 7</t>
  </si>
  <si>
    <t>reg 7 = reg7 &amp; findfirst &amp;" "</t>
  </si>
  <si>
    <t>Reg7</t>
  </si>
  <si>
    <t>2528200000.idw.pdf</t>
  </si>
  <si>
    <t>(\d{3,4}( )*){3}(\.idw)*(_[0-9]+)*(.pdf)</t>
  </si>
  <si>
    <t>2455250003.idw.dwg</t>
  </si>
  <si>
    <t>(\d{3,4}( )*){3}([a-zA-Z]*)(\.[a-zA-Z]+)*(.dwg)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</si>
</sst>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CE9178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0" fillId="2" borderId="1" xfId="0" applyNumberFormat="1" applyFont="1" applyFill="1" applyBorder="1"/>
    <xf numFmtId="0" fontId="0" fillId="0" borderId="1" xfId="0" applyNumberFormat="1" applyFont="1" applyBorder="1"/>
    <xf numFmtId="0" fontId="0" fillId="0" borderId="0" xfId="0" applyNumberFormat="1" applyFont="1" applyFill="1" applyBorder="1"/>
    <xf numFmtId="0" fontId="1" fillId="0" borderId="0" xfId="0" applyFont="1" applyAlignment="1">
      <alignment vertical="center"/>
    </xf>
    <xf numFmtId="0" fontId="0" fillId="2" borderId="0" xfId="0" applyNumberFormat="1" applyFont="1" applyFill="1" applyBorder="1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ExternalData_1" removeDataOnSave="1" connectionId="1" autoFormatId="0" applyNumberFormats="0" applyBorderFormats="0" applyFontFormats="1" applyPatternFormats="1" applyAlignmentFormats="0" applyWidthHeightFormats="0">
  <queryTableRefresh preserveSortFilterLayout="0" nextId="10" unboundColumnsRight="8">
    <queryTableFields count="9">
      <queryTableField id="1" name="Name" tableColumnId="1"/>
      <queryTableField id="9" dataBound="0" tableColumnId="2"/>
      <queryTableField id="8" dataBound="0" tableColumnId="3"/>
      <queryTableField id="7" dataBound="0" tableColumnId="4"/>
      <queryTableField id="6" dataBound="0" tableColumnId="5"/>
      <queryTableField id="5" dataBound="0" tableColumnId="6"/>
      <queryTableField id="4" dataBound="0" tableColumnId="7"/>
      <queryTableField id="3" dataBound="0" tableColumnId="8"/>
      <queryTableField id="2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est_files" displayName="test_files" ref="A1:I33" tableType="queryTable" totalsRowShown="0">
  <autoFilter ref="A1:I33"/>
  <tableColumns count="9">
    <tableColumn id="1" uniqueName="1" name="Name" queryTableFieldId="1" dataDxfId="8"/>
    <tableColumn id="2" uniqueName="2" name="Regex 1st" queryTableFieldId="9" dataDxfId="7"/>
    <tableColumn id="3" uniqueName="3" name="Regex 2nd" queryTableFieldId="8" dataDxfId="6"/>
    <tableColumn id="4" uniqueName="4" name="Regex3th" queryTableFieldId="7" dataDxfId="5"/>
    <tableColumn id="5" uniqueName="5" name="Regex 4th" queryTableFieldId="6" dataDxfId="4"/>
    <tableColumn id="6" uniqueName="6" name="Regex 5th" queryTableFieldId="5" dataDxfId="3"/>
    <tableColumn id="7" uniqueName="7" name="Reverse" queryTableFieldId="4" dataDxfId="2"/>
    <tableColumn id="8" uniqueName="8" name="Regex 7th" queryTableFieldId="3" dataDxfId="1"/>
    <tableColumn id="9" uniqueName="9" name="Regex 8th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9"/>
  <sheetViews>
    <sheetView workbookViewId="0">
      <selection activeCell="A9" sqref="A9"/>
    </sheetView>
  </sheetViews>
  <sheetFormatPr defaultRowHeight="15" x14ac:dyDescent="0.25"/>
  <cols>
    <col min="1" max="1" width="33.85546875" customWidth="1"/>
  </cols>
  <sheetData>
    <row r="1" spans="1:3" x14ac:dyDescent="0.25">
      <c r="B1" t="s">
        <v>5</v>
      </c>
      <c r="C1" t="s">
        <v>6</v>
      </c>
    </row>
    <row r="2" spans="1:3" x14ac:dyDescent="0.25">
      <c r="A2" t="s">
        <v>3</v>
      </c>
      <c r="B2" t="s">
        <v>7</v>
      </c>
    </row>
    <row r="3" spans="1:3" x14ac:dyDescent="0.25">
      <c r="A3" t="s">
        <v>4</v>
      </c>
      <c r="B3" t="s">
        <v>9</v>
      </c>
    </row>
    <row r="4" spans="1:3" x14ac:dyDescent="0.25">
      <c r="A4" t="s">
        <v>10</v>
      </c>
      <c r="B4" t="s">
        <v>27</v>
      </c>
    </row>
    <row r="5" spans="1:3" x14ac:dyDescent="0.25">
      <c r="A5" t="s">
        <v>19</v>
      </c>
      <c r="B5" t="s">
        <v>25</v>
      </c>
    </row>
    <row r="6" spans="1:3" x14ac:dyDescent="0.25">
      <c r="A6" t="s">
        <v>23</v>
      </c>
      <c r="B6" t="s">
        <v>12</v>
      </c>
    </row>
    <row r="7" spans="1:3" x14ac:dyDescent="0.25">
      <c r="A7" t="s">
        <v>20</v>
      </c>
    </row>
    <row r="8" spans="1:3" x14ac:dyDescent="0.25">
      <c r="A8" t="s">
        <v>21</v>
      </c>
      <c r="B8" t="s">
        <v>15</v>
      </c>
      <c r="C8" t="s">
        <v>14</v>
      </c>
    </row>
    <row r="9" spans="1:3" x14ac:dyDescent="0.25">
      <c r="A9" t="s">
        <v>22</v>
      </c>
      <c r="B9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9"/>
  <sheetViews>
    <sheetView tabSelected="1" topLeftCell="A34" workbookViewId="0">
      <selection activeCell="C47" sqref="C47"/>
    </sheetView>
  </sheetViews>
  <sheetFormatPr defaultColWidth="9.140625" defaultRowHeight="15" x14ac:dyDescent="0.25"/>
  <cols>
    <col min="1" max="1" width="38.28515625" bestFit="1" customWidth="1"/>
    <col min="2" max="2" width="36.85546875" bestFit="1" customWidth="1"/>
    <col min="3" max="3" width="12.42578125" customWidth="1"/>
    <col min="4" max="4" width="33.140625" bestFit="1" customWidth="1"/>
    <col min="5" max="6" width="5.28515625" customWidth="1"/>
    <col min="7" max="7" width="5.140625" customWidth="1"/>
    <col min="8" max="8" width="5" customWidth="1"/>
    <col min="9" max="9" width="5.5703125" customWidth="1"/>
    <col min="10" max="10" width="5" customWidth="1"/>
    <col min="11" max="11" width="6.140625" customWidth="1"/>
  </cols>
  <sheetData>
    <row r="1" spans="1:9" x14ac:dyDescent="0.25">
      <c r="A1" s="1" t="s">
        <v>0</v>
      </c>
      <c r="B1" s="1" t="s">
        <v>17</v>
      </c>
      <c r="C1" s="1" t="s">
        <v>1</v>
      </c>
      <c r="D1" s="1" t="s">
        <v>18</v>
      </c>
      <c r="E1" s="1" t="s">
        <v>8</v>
      </c>
      <c r="F1" t="s">
        <v>11</v>
      </c>
      <c r="G1" t="s">
        <v>13</v>
      </c>
      <c r="H1" t="s">
        <v>26</v>
      </c>
      <c r="I1" t="s">
        <v>16</v>
      </c>
    </row>
    <row r="2" spans="1:9" x14ac:dyDescent="0.25">
      <c r="A2" s="1" t="s">
        <v>24</v>
      </c>
      <c r="B2" s="1" t="str">
        <f>RegexReplace(test_files[[#This Row],[Name]],Sheet1!$B$2,Sheet1!$C$2)</f>
        <v>000100026A.dwg</v>
      </c>
      <c r="C2" s="1" t="str">
        <f>RegexReplace(test_files[[#This Row],[Name]],Sheet1!$B$3,Sheet1!$C$3)</f>
        <v>dwg</v>
      </c>
      <c r="D2" s="1" t="str">
        <f>RegexReplace(test_files[[#This Row],[Regex 1st]],Sheet1!$B$4,Sheet1!$C$4)</f>
        <v>000100026A</v>
      </c>
      <c r="E2" s="1" t="str">
        <f>RegexReplace(test_files[[#This Row],[Regex3th]],Sheet1!$B$5,Sheet1!$C$5)</f>
        <v>000100026A</v>
      </c>
      <c r="F2" s="1" t="str">
        <f>RegexReplace(test_files[[#This Row],[Regex 4th]],Sheet1!$B$6,Sheet1!$C$6)</f>
        <v>000100026A</v>
      </c>
      <c r="G2" s="1" t="str">
        <f>StringReverse(test_files[[#This Row],[Regex 5th]])</f>
        <v>A620001000</v>
      </c>
      <c r="H2" s="1" t="str">
        <f>StringReverse(RegexReplace(test_files[[#This Row],[Reverse]],Sheet1!$B$8,Sheet1!$C$8))</f>
        <v xml:space="preserve"> 000 100 026A</v>
      </c>
      <c r="I2" s="1" t="str">
        <f>RegexReplaceFirst(test_files[[#This Row],[Regex 7th]],Sheet1!$B$9,Sheet1!$C$9)&amp;"."&amp;test_files[[#This Row],[Regex 2nd]]</f>
        <v>000 100 026A.dwg</v>
      </c>
    </row>
    <row r="3" spans="1:9" x14ac:dyDescent="0.25">
      <c r="A3" s="1" t="s">
        <v>28</v>
      </c>
      <c r="B3" s="1" t="str">
        <f>RegexReplace(test_files[[#This Row],[Name]],Sheet1!$B$2,Sheet1!$C$2)</f>
        <v>1207204004.idw.dwf</v>
      </c>
      <c r="C3" s="1" t="str">
        <f>RegexReplace(test_files[[#This Row],[Name]],Sheet1!$B$3,Sheet1!$C$3)</f>
        <v>dwf</v>
      </c>
      <c r="D3" s="1" t="str">
        <f>RegexReplace(test_files[[#This Row],[Regex 1st]],Sheet1!$B$4,Sheet1!$C$4)</f>
        <v>1207204004</v>
      </c>
      <c r="E3" s="1" t="str">
        <f>RegexReplace(test_files[[#This Row],[Regex3th]],Sheet1!$B$5,Sheet1!$C$5)</f>
        <v>1207204004</v>
      </c>
      <c r="F3" s="1" t="str">
        <f>RegexReplace(test_files[[#This Row],[Regex 4th]],Sheet1!$B$6,Sheet1!$C$6)</f>
        <v>1207204004</v>
      </c>
      <c r="G3" s="1" t="str">
        <f>StringReverse(test_files[[#This Row],[Regex 5th]])</f>
        <v>4004027021</v>
      </c>
      <c r="H3" s="1" t="str">
        <f>StringReverse(RegexReplace(test_files[[#This Row],[Reverse]],Sheet1!$B$8,Sheet1!$C$8))</f>
        <v>1 207 204 004</v>
      </c>
      <c r="I3" s="1" t="str">
        <f>RegexReplaceFirst(test_files[[#This Row],[Regex 7th]],Sheet1!$B$9,Sheet1!$C$9)&amp;"."&amp;test_files[[#This Row],[Regex 2nd]]</f>
        <v>1207 204 004.dwf</v>
      </c>
    </row>
    <row r="4" spans="1:9" x14ac:dyDescent="0.25">
      <c r="A4" s="1" t="s">
        <v>29</v>
      </c>
      <c r="B4" s="1" t="str">
        <f>RegexReplace(test_files[[#This Row],[Name]],Sheet1!$B$2,Sheet1!$C$2)</f>
        <v>1684401006.idw.dwf</v>
      </c>
      <c r="C4" s="1" t="str">
        <f>RegexReplace(test_files[[#This Row],[Name]],Sheet1!$B$3,Sheet1!$C$3)</f>
        <v>dwf</v>
      </c>
      <c r="D4" s="1" t="str">
        <f>RegexReplace(test_files[[#This Row],[Regex 1st]],Sheet1!$B$4,Sheet1!$C$4)</f>
        <v>1684401006</v>
      </c>
      <c r="E4" s="1" t="str">
        <f>RegexReplace(test_files[[#This Row],[Regex3th]],Sheet1!$B$5,Sheet1!$C$5)</f>
        <v>1684401006</v>
      </c>
      <c r="F4" s="1" t="str">
        <f>RegexReplace(test_files[[#This Row],[Regex 4th]],Sheet1!$B$6,Sheet1!$C$6)</f>
        <v>1684401006</v>
      </c>
      <c r="G4" s="1" t="str">
        <f>StringReverse(test_files[[#This Row],[Regex 5th]])</f>
        <v>6001044861</v>
      </c>
      <c r="H4" s="1" t="str">
        <f>StringReverse(RegexReplace(test_files[[#This Row],[Reverse]],Sheet1!$B$8,Sheet1!$C$8))</f>
        <v>1 684 401 006</v>
      </c>
      <c r="I4" s="1" t="str">
        <f>RegexReplaceFirst(test_files[[#This Row],[Regex 7th]],Sheet1!$B$9,Sheet1!$C$9)&amp;"."&amp;test_files[[#This Row],[Regex 2nd]]</f>
        <v>1684 401 006.dwf</v>
      </c>
    </row>
    <row r="5" spans="1:9" x14ac:dyDescent="0.25">
      <c r="A5" s="1" t="s">
        <v>30</v>
      </c>
      <c r="B5" s="1" t="str">
        <f>RegexReplace(test_files[[#This Row],[Name]],Sheet1!$B$2,Sheet1!$C$2)</f>
        <v>1684401007.idw.dwf</v>
      </c>
      <c r="C5" s="1" t="str">
        <f>RegexReplace(test_files[[#This Row],[Name]],Sheet1!$B$3,Sheet1!$C$3)</f>
        <v>dwf</v>
      </c>
      <c r="D5" s="1" t="str">
        <f>RegexReplace(test_files[[#This Row],[Regex 1st]],Sheet1!$B$4,Sheet1!$C$4)</f>
        <v>1684401007</v>
      </c>
      <c r="E5" s="1" t="str">
        <f>RegexReplace(test_files[[#This Row],[Regex3th]],Sheet1!$B$5,Sheet1!$C$5)</f>
        <v>1684401007</v>
      </c>
      <c r="F5" s="1" t="str">
        <f>RegexReplace(test_files[[#This Row],[Regex 4th]],Sheet1!$B$6,Sheet1!$C$6)</f>
        <v>1684401007</v>
      </c>
      <c r="G5" s="1" t="str">
        <f>StringReverse(test_files[[#This Row],[Regex 5th]])</f>
        <v>7001044861</v>
      </c>
      <c r="H5" s="1" t="str">
        <f>StringReverse(RegexReplace(test_files[[#This Row],[Reverse]],Sheet1!$B$8,Sheet1!$C$8))</f>
        <v>1 684 401 007</v>
      </c>
      <c r="I5" s="1" t="str">
        <f>RegexReplaceFirst(test_files[[#This Row],[Regex 7th]],Sheet1!$B$9,Sheet1!$C$9)&amp;"."&amp;test_files[[#This Row],[Regex 2nd]]</f>
        <v>1684 401 007.dwf</v>
      </c>
    </row>
    <row r="6" spans="1:9" x14ac:dyDescent="0.25">
      <c r="A6" s="1" t="s">
        <v>48</v>
      </c>
      <c r="B6" s="1" t="str">
        <f>RegexReplace(test_files[[#This Row],[Name]],Sheet1!$B$2,Sheet1!$C$2)</f>
        <v>2455350002.pdf</v>
      </c>
      <c r="C6" s="1" t="str">
        <f>RegexReplace(test_files[[#This Row],[Name]],Sheet1!$B$3,Sheet1!$C$3)</f>
        <v>pdf</v>
      </c>
      <c r="D6" s="1" t="str">
        <f>RegexReplace(test_files[[#This Row],[Regex 1st]],Sheet1!$B$4,Sheet1!$C$4)</f>
        <v>2455350002</v>
      </c>
      <c r="E6" s="1" t="str">
        <f>RegexReplace(test_files[[#This Row],[Regex3th]],Sheet1!$B$5,Sheet1!$C$5)</f>
        <v>2455350002</v>
      </c>
      <c r="F6" s="1" t="str">
        <f>RegexReplace(test_files[[#This Row],[Regex 4th]],Sheet1!$B$6,Sheet1!$C$6)</f>
        <v>2455350002</v>
      </c>
      <c r="G6" s="1" t="str">
        <f>StringReverse(test_files[[#This Row],[Regex 5th]])</f>
        <v>2000535542</v>
      </c>
      <c r="H6" s="1" t="str">
        <f>StringReverse(RegexReplace(test_files[[#This Row],[Reverse]],Sheet1!$B$8,Sheet1!$C$8))</f>
        <v>2 455 350 002</v>
      </c>
      <c r="I6" s="1" t="str">
        <f>RegexReplaceFirst(test_files[[#This Row],[Regex 7th]],Sheet1!$B$9,Sheet1!$C$9)&amp;"."&amp;test_files[[#This Row],[Regex 2nd]]</f>
        <v>2455 350 002.pdf</v>
      </c>
    </row>
    <row r="7" spans="1:9" x14ac:dyDescent="0.25">
      <c r="A7" s="1" t="s">
        <v>49</v>
      </c>
      <c r="B7" s="1" t="str">
        <f>RegexReplace(test_files[[#This Row],[Name]],Sheet1!$B$2,Sheet1!$C$2)</f>
        <v>2455350002.idw.dwf</v>
      </c>
      <c r="C7" s="1" t="str">
        <f>RegexReplace(test_files[[#This Row],[Name]],Sheet1!$B$3,Sheet1!$C$3)</f>
        <v>dwf</v>
      </c>
      <c r="D7" s="1" t="str">
        <f>RegexReplace(test_files[[#This Row],[Regex 1st]],Sheet1!$B$4,Sheet1!$C$4)</f>
        <v>2455350002</v>
      </c>
      <c r="E7" s="1" t="str">
        <f>RegexReplace(test_files[[#This Row],[Regex3th]],Sheet1!$B$5,Sheet1!$C$5)</f>
        <v>2455350002</v>
      </c>
      <c r="F7" s="1" t="str">
        <f>RegexReplace(test_files[[#This Row],[Regex 4th]],Sheet1!$B$6,Sheet1!$C$6)</f>
        <v>2455350002</v>
      </c>
      <c r="G7" s="1" t="str">
        <f>StringReverse(test_files[[#This Row],[Regex 5th]])</f>
        <v>2000535542</v>
      </c>
      <c r="H7" s="1" t="str">
        <f>StringReverse(RegexReplace(test_files[[#This Row],[Reverse]],Sheet1!$B$8,Sheet1!$C$8))</f>
        <v>2 455 350 002</v>
      </c>
      <c r="I7" s="1" t="str">
        <f>RegexReplaceFirst(test_files[[#This Row],[Regex 7th]],Sheet1!$B$9,Sheet1!$C$9)&amp;"."&amp;test_files[[#This Row],[Regex 2nd]]</f>
        <v>2455 350 002.dwf</v>
      </c>
    </row>
    <row r="8" spans="1:9" x14ac:dyDescent="0.25">
      <c r="A8" s="1" t="s">
        <v>31</v>
      </c>
      <c r="B8" s="1" t="str">
        <f>RegexReplace(test_files[[#This Row],[Name]],Sheet1!$B$2,Sheet1!$C$2)</f>
        <v>2489411050.idw.dwf</v>
      </c>
      <c r="C8" s="1" t="str">
        <f>RegexReplace(test_files[[#This Row],[Name]],Sheet1!$B$3,Sheet1!$C$3)</f>
        <v>dwf</v>
      </c>
      <c r="D8" s="1" t="str">
        <f>RegexReplace(test_files[[#This Row],[Regex 1st]],Sheet1!$B$4,Sheet1!$C$4)</f>
        <v>2489411050</v>
      </c>
      <c r="E8" s="1" t="str">
        <f>RegexReplace(test_files[[#This Row],[Regex3th]],Sheet1!$B$5,Sheet1!$C$5)</f>
        <v>2489411050</v>
      </c>
      <c r="F8" s="1" t="str">
        <f>RegexReplace(test_files[[#This Row],[Regex 4th]],Sheet1!$B$6,Sheet1!$C$6)</f>
        <v>2489411050</v>
      </c>
      <c r="G8" s="1" t="str">
        <f>StringReverse(test_files[[#This Row],[Regex 5th]])</f>
        <v>0501149842</v>
      </c>
      <c r="H8" s="1" t="str">
        <f>StringReverse(RegexReplace(test_files[[#This Row],[Reverse]],Sheet1!$B$8,Sheet1!$C$8))</f>
        <v>2 489 411 050</v>
      </c>
      <c r="I8" s="1" t="str">
        <f>RegexReplaceFirst(test_files[[#This Row],[Regex 7th]],Sheet1!$B$9,Sheet1!$C$9)&amp;"."&amp;test_files[[#This Row],[Regex 2nd]]</f>
        <v>2489 411 050.dwf</v>
      </c>
    </row>
    <row r="9" spans="1:9" x14ac:dyDescent="0.25">
      <c r="A9" s="1" t="s">
        <v>32</v>
      </c>
      <c r="B9" s="1" t="str">
        <f>RegexReplace(test_files[[#This Row],[Name]],Sheet1!$B$2,Sheet1!$C$2)</f>
        <v>2489411051.idw.dwf</v>
      </c>
      <c r="C9" s="1" t="str">
        <f>RegexReplace(test_files[[#This Row],[Name]],Sheet1!$B$3,Sheet1!$C$3)</f>
        <v>dwf</v>
      </c>
      <c r="D9" s="1" t="str">
        <f>RegexReplace(test_files[[#This Row],[Regex 1st]],Sheet1!$B$4,Sheet1!$C$4)</f>
        <v>2489411051</v>
      </c>
      <c r="E9" s="1" t="str">
        <f>RegexReplace(test_files[[#This Row],[Regex3th]],Sheet1!$B$5,Sheet1!$C$5)</f>
        <v>2489411051</v>
      </c>
      <c r="F9" s="1" t="str">
        <f>RegexReplace(test_files[[#This Row],[Regex 4th]],Sheet1!$B$6,Sheet1!$C$6)</f>
        <v>2489411051</v>
      </c>
      <c r="G9" s="1" t="str">
        <f>StringReverse(test_files[[#This Row],[Regex 5th]])</f>
        <v>1501149842</v>
      </c>
      <c r="H9" s="1" t="str">
        <f>StringReverse(RegexReplace(test_files[[#This Row],[Reverse]],Sheet1!$B$8,Sheet1!$C$8))</f>
        <v>2 489 411 051</v>
      </c>
      <c r="I9" s="1" t="str">
        <f>RegexReplaceFirst(test_files[[#This Row],[Regex 7th]],Sheet1!$B$9,Sheet1!$C$9)&amp;"."&amp;test_files[[#This Row],[Regex 2nd]]</f>
        <v>2489 411 051.dwf</v>
      </c>
    </row>
    <row r="10" spans="1:9" x14ac:dyDescent="0.25">
      <c r="A10" s="1" t="s">
        <v>33</v>
      </c>
      <c r="B10" s="1" t="str">
        <f>RegexReplace(test_files[[#This Row],[Name]],Sheet1!$B$2,Sheet1!$C$2)</f>
        <v>2491401005.idw.dwf</v>
      </c>
      <c r="C10" s="1" t="str">
        <f>RegexReplace(test_files[[#This Row],[Name]],Sheet1!$B$3,Sheet1!$C$3)</f>
        <v>dwf</v>
      </c>
      <c r="D10" s="1" t="str">
        <f>RegexReplace(test_files[[#This Row],[Regex 1st]],Sheet1!$B$4,Sheet1!$C$4)</f>
        <v>2491401005</v>
      </c>
      <c r="E10" s="1" t="str">
        <f>RegexReplace(test_files[[#This Row],[Regex3th]],Sheet1!$B$5,Sheet1!$C$5)</f>
        <v>2491401005</v>
      </c>
      <c r="F10" s="1" t="str">
        <f>RegexReplace(test_files[[#This Row],[Regex 4th]],Sheet1!$B$6,Sheet1!$C$6)</f>
        <v>2491401005</v>
      </c>
      <c r="G10" s="1" t="str">
        <f>StringReverse(test_files[[#This Row],[Regex 5th]])</f>
        <v>5001041942</v>
      </c>
      <c r="H10" s="1" t="str">
        <f>StringReverse(RegexReplace(test_files[[#This Row],[Reverse]],Sheet1!$B$8,Sheet1!$C$8))</f>
        <v>2 491 401 005</v>
      </c>
      <c r="I10" s="1" t="str">
        <f>RegexReplaceFirst(test_files[[#This Row],[Regex 7th]],Sheet1!$B$9,Sheet1!$C$9)&amp;"."&amp;test_files[[#This Row],[Regex 2nd]]</f>
        <v>2491 401 005.dwf</v>
      </c>
    </row>
    <row r="11" spans="1:9" x14ac:dyDescent="0.25">
      <c r="A11" s="1" t="s">
        <v>34</v>
      </c>
      <c r="B11" s="1" t="str">
        <f>RegexReplace(test_files[[#This Row],[Name]],Sheet1!$B$2,Sheet1!$C$2)</f>
        <v>2491401006.idw.dwf</v>
      </c>
      <c r="C11" s="1" t="str">
        <f>RegexReplace(test_files[[#This Row],[Name]],Sheet1!$B$3,Sheet1!$C$3)</f>
        <v>dwf</v>
      </c>
      <c r="D11" s="1" t="str">
        <f>RegexReplace(test_files[[#This Row],[Regex 1st]],Sheet1!$B$4,Sheet1!$C$4)</f>
        <v>2491401006</v>
      </c>
      <c r="E11" s="1" t="str">
        <f>RegexReplace(test_files[[#This Row],[Regex3th]],Sheet1!$B$5,Sheet1!$C$5)</f>
        <v>2491401006</v>
      </c>
      <c r="F11" s="1" t="str">
        <f>RegexReplace(test_files[[#This Row],[Regex 4th]],Sheet1!$B$6,Sheet1!$C$6)</f>
        <v>2491401006</v>
      </c>
      <c r="G11" s="1" t="str">
        <f>StringReverse(test_files[[#This Row],[Regex 5th]])</f>
        <v>6001041942</v>
      </c>
      <c r="H11" s="1" t="str">
        <f>StringReverse(RegexReplace(test_files[[#This Row],[Reverse]],Sheet1!$B$8,Sheet1!$C$8))</f>
        <v>2 491 401 006</v>
      </c>
      <c r="I11" s="1" t="str">
        <f>RegexReplaceFirst(test_files[[#This Row],[Regex 7th]],Sheet1!$B$9,Sheet1!$C$9)&amp;"."&amp;test_files[[#This Row],[Regex 2nd]]</f>
        <v>2491 401 006.dwf</v>
      </c>
    </row>
    <row r="12" spans="1:9" x14ac:dyDescent="0.25">
      <c r="A12" s="1" t="s">
        <v>50</v>
      </c>
      <c r="B12" s="1" t="str">
        <f>RegexReplace(test_files[[#This Row],[Name]],Sheet1!$B$2,Sheet1!$C$2)</f>
        <v>2528350000.Nomenclature.Anglais.pdf</v>
      </c>
      <c r="C12" s="1" t="str">
        <f>RegexReplace(test_files[[#This Row],[Name]],Sheet1!$B$3,Sheet1!$C$3)</f>
        <v>pdf</v>
      </c>
      <c r="D12" s="1" t="str">
        <f>RegexReplace(test_files[[#This Row],[Regex 1st]],Sheet1!$B$4,Sheet1!$C$4)</f>
        <v>2528350000.Nomenclature.Anglais</v>
      </c>
      <c r="E12" s="1" t="str">
        <f>RegexReplace(test_files[[#This Row],[Regex3th]],Sheet1!$B$5,Sheet1!$C$5)</f>
        <v>2528350000.Nomenclature.Anglais</v>
      </c>
      <c r="F12" s="1" t="str">
        <f>RegexReplace(test_files[[#This Row],[Regex 4th]],Sheet1!$B$6,Sheet1!$C$6)</f>
        <v>2528350000.Nomenclature.Anglais</v>
      </c>
      <c r="G12" s="1" t="str">
        <f>StringReverse(test_files[[#This Row],[Regex 5th]])</f>
        <v>sialgnA.erutalcnemoN.0000538252</v>
      </c>
      <c r="H12" s="1" t="str">
        <f>StringReverse(RegexReplace(test_files[[#This Row],[Reverse]],Sheet1!$B$8,Sheet1!$C$8))</f>
        <v>2 528 350 000.Nomenclature.Anglais</v>
      </c>
      <c r="I12" s="1" t="str">
        <f>RegexReplaceFirst(test_files[[#This Row],[Regex 7th]],Sheet1!$B$9,Sheet1!$C$9)&amp;"."&amp;test_files[[#This Row],[Regex 2nd]]</f>
        <v>2528 350 000.Nomenclature.Anglais.pdf</v>
      </c>
    </row>
    <row r="13" spans="1:9" x14ac:dyDescent="0.25">
      <c r="A13" s="1" t="s">
        <v>51</v>
      </c>
      <c r="B13" s="1" t="str">
        <f>RegexReplace(test_files[[#This Row],[Name]],Sheet1!$B$2,Sheet1!$C$2)</f>
        <v>2528350000.Nomenclature.fr.pdf</v>
      </c>
      <c r="C13" s="1" t="str">
        <f>RegexReplace(test_files[[#This Row],[Name]],Sheet1!$B$3,Sheet1!$C$3)</f>
        <v>pdf</v>
      </c>
      <c r="D13" s="1" t="str">
        <f>RegexReplace(test_files[[#This Row],[Regex 1st]],Sheet1!$B$4,Sheet1!$C$4)</f>
        <v>2528350000</v>
      </c>
      <c r="E13" s="1" t="str">
        <f>RegexReplace(test_files[[#This Row],[Regex3th]],Sheet1!$B$5,Sheet1!$C$5)</f>
        <v>2528350000</v>
      </c>
      <c r="F13" s="1" t="str">
        <f>RegexReplace(test_files[[#This Row],[Regex 4th]],Sheet1!$B$6,Sheet1!$C$6)</f>
        <v>2528350000</v>
      </c>
      <c r="G13" s="1" t="str">
        <f>StringReverse(test_files[[#This Row],[Regex 5th]])</f>
        <v>0000538252</v>
      </c>
      <c r="H13" s="1" t="str">
        <f>StringReverse(RegexReplace(test_files[[#This Row],[Reverse]],Sheet1!$B$8,Sheet1!$C$8))</f>
        <v>2 528 350 000</v>
      </c>
      <c r="I13" s="1" t="str">
        <f>RegexReplaceFirst(test_files[[#This Row],[Regex 7th]],Sheet1!$B$9,Sheet1!$C$9)&amp;"."&amp;test_files[[#This Row],[Regex 2nd]]</f>
        <v>2528 350 000.pdf</v>
      </c>
    </row>
    <row r="14" spans="1:9" x14ac:dyDescent="0.25">
      <c r="A14" s="1" t="s">
        <v>52</v>
      </c>
      <c r="B14" s="1" t="str">
        <f>RegexReplace(test_files[[#This Row],[Name]],Sheet1!$B$2,Sheet1!$C$2)</f>
        <v>2528350001_D-Feuille-1.pdf</v>
      </c>
      <c r="C14" s="1" t="str">
        <f>RegexReplace(test_files[[#This Row],[Name]],Sheet1!$B$3,Sheet1!$C$3)</f>
        <v>pdf</v>
      </c>
      <c r="D14" s="1" t="str">
        <f>RegexReplace(test_files[[#This Row],[Regex 1st]],Sheet1!$B$4,Sheet1!$C$4)</f>
        <v>2528350001_D-Feuille-1</v>
      </c>
      <c r="E14" s="1" t="str">
        <f>RegexReplace(test_files[[#This Row],[Regex3th]],Sheet1!$B$5,Sheet1!$C$5)</f>
        <v>2528350001</v>
      </c>
      <c r="F14" s="1" t="str">
        <f>RegexReplace(test_files[[#This Row],[Regex 4th]],Sheet1!$B$6,Sheet1!$C$6)</f>
        <v>2528350001</v>
      </c>
      <c r="G14" s="1" t="str">
        <f>StringReverse(test_files[[#This Row],[Regex 5th]])</f>
        <v>1000538252</v>
      </c>
      <c r="H14" s="1" t="str">
        <f>StringReverse(RegexReplace(test_files[[#This Row],[Reverse]],Sheet1!$B$8,Sheet1!$C$8))</f>
        <v>2 528 350 001</v>
      </c>
      <c r="I14" s="1" t="str">
        <f>RegexReplaceFirst(test_files[[#This Row],[Regex 7th]],Sheet1!$B$9,Sheet1!$C$9)&amp;"."&amp;test_files[[#This Row],[Regex 2nd]]</f>
        <v>2528 350 001.pdf</v>
      </c>
    </row>
    <row r="15" spans="1:9" x14ac:dyDescent="0.25">
      <c r="A15" s="1" t="s">
        <v>53</v>
      </c>
      <c r="B15" s="1" t="str">
        <f>RegexReplace(test_files[[#This Row],[Name]],Sheet1!$B$2,Sheet1!$C$2)</f>
        <v>2528400000.Nomenclature.Anglais.pdf</v>
      </c>
      <c r="C15" s="1" t="str">
        <f>RegexReplace(test_files[[#This Row],[Name]],Sheet1!$B$3,Sheet1!$C$3)</f>
        <v>pdf</v>
      </c>
      <c r="D15" s="1" t="str">
        <f>RegexReplace(test_files[[#This Row],[Regex 1st]],Sheet1!$B$4,Sheet1!$C$4)</f>
        <v>2528400000.Nomenclature.Anglais</v>
      </c>
      <c r="E15" s="1" t="str">
        <f>RegexReplace(test_files[[#This Row],[Regex3th]],Sheet1!$B$5,Sheet1!$C$5)</f>
        <v>2528400000.Nomenclature.Anglais</v>
      </c>
      <c r="F15" s="1" t="str">
        <f>RegexReplace(test_files[[#This Row],[Regex 4th]],Sheet1!$B$6,Sheet1!$C$6)</f>
        <v>2528400000.Nomenclature.Anglais</v>
      </c>
      <c r="G15" s="1" t="str">
        <f>StringReverse(test_files[[#This Row],[Regex 5th]])</f>
        <v>sialgnA.erutalcnemoN.0000048252</v>
      </c>
      <c r="H15" s="1" t="str">
        <f>StringReverse(RegexReplace(test_files[[#This Row],[Reverse]],Sheet1!$B$8,Sheet1!$C$8))</f>
        <v>2 528 400 000.Nomenclature.Anglais</v>
      </c>
      <c r="I15" s="1" t="str">
        <f>RegexReplaceFirst(test_files[[#This Row],[Regex 7th]],Sheet1!$B$9,Sheet1!$C$9)&amp;"."&amp;test_files[[#This Row],[Regex 2nd]]</f>
        <v>2528 400 000.Nomenclature.Anglais.pdf</v>
      </c>
    </row>
    <row r="16" spans="1:9" x14ac:dyDescent="0.25">
      <c r="A16" s="1" t="s">
        <v>54</v>
      </c>
      <c r="B16" s="1" t="str">
        <f>RegexReplace(test_files[[#This Row],[Name]],Sheet1!$B$2,Sheet1!$C$2)</f>
        <v>2528400000.Nomenclature.fr.pdf</v>
      </c>
      <c r="C16" s="1" t="str">
        <f>RegexReplace(test_files[[#This Row],[Name]],Sheet1!$B$3,Sheet1!$C$3)</f>
        <v>pdf</v>
      </c>
      <c r="D16" s="1" t="str">
        <f>RegexReplace(test_files[[#This Row],[Regex 1st]],Sheet1!$B$4,Sheet1!$C$4)</f>
        <v>2528400000</v>
      </c>
      <c r="E16" s="1" t="str">
        <f>RegexReplace(test_files[[#This Row],[Regex3th]],Sheet1!$B$5,Sheet1!$C$5)</f>
        <v>2528400000</v>
      </c>
      <c r="F16" s="1" t="str">
        <f>RegexReplace(test_files[[#This Row],[Regex 4th]],Sheet1!$B$6,Sheet1!$C$6)</f>
        <v>2528400000</v>
      </c>
      <c r="G16" s="1" t="str">
        <f>StringReverse(test_files[[#This Row],[Regex 5th]])</f>
        <v>0000048252</v>
      </c>
      <c r="H16" s="1" t="str">
        <f>StringReverse(RegexReplace(test_files[[#This Row],[Reverse]],Sheet1!$B$8,Sheet1!$C$8))</f>
        <v>2 528 400 000</v>
      </c>
      <c r="I16" s="1" t="str">
        <f>RegexReplaceFirst(test_files[[#This Row],[Regex 7th]],Sheet1!$B$9,Sheet1!$C$9)&amp;"."&amp;test_files[[#This Row],[Regex 2nd]]</f>
        <v>2528 400 000.pdf</v>
      </c>
    </row>
    <row r="17" spans="1:9" x14ac:dyDescent="0.25">
      <c r="A17" s="1" t="s">
        <v>55</v>
      </c>
      <c r="B17" s="1" t="str">
        <f>RegexReplace(test_files[[#This Row],[Name]],Sheet1!$B$2,Sheet1!$C$2)</f>
        <v>2528400000_D-Feuille-1.pdf</v>
      </c>
      <c r="C17" s="1" t="str">
        <f>RegexReplace(test_files[[#This Row],[Name]],Sheet1!$B$3,Sheet1!$C$3)</f>
        <v>pdf</v>
      </c>
      <c r="D17" s="1" t="str">
        <f>RegexReplace(test_files[[#This Row],[Regex 1st]],Sheet1!$B$4,Sheet1!$C$4)</f>
        <v>2528400000_D-Feuille-1</v>
      </c>
      <c r="E17" s="1" t="str">
        <f>RegexReplace(test_files[[#This Row],[Regex3th]],Sheet1!$B$5,Sheet1!$C$5)</f>
        <v>2528400000</v>
      </c>
      <c r="F17" s="1" t="str">
        <f>RegexReplace(test_files[[#This Row],[Regex 4th]],Sheet1!$B$6,Sheet1!$C$6)</f>
        <v>2528400000</v>
      </c>
      <c r="G17" s="1" t="str">
        <f>StringReverse(test_files[[#This Row],[Regex 5th]])</f>
        <v>0000048252</v>
      </c>
      <c r="H17" s="1" t="str">
        <f>StringReverse(RegexReplace(test_files[[#This Row],[Reverse]],Sheet1!$B$8,Sheet1!$C$8))</f>
        <v>2 528 400 000</v>
      </c>
      <c r="I17" s="1" t="str">
        <f>RegexReplaceFirst(test_files[[#This Row],[Regex 7th]],Sheet1!$B$9,Sheet1!$C$9)&amp;"."&amp;test_files[[#This Row],[Regex 2nd]]</f>
        <v>2528 400 000.pdf</v>
      </c>
    </row>
    <row r="18" spans="1:9" x14ac:dyDescent="0.25">
      <c r="A18" s="1" t="s">
        <v>56</v>
      </c>
      <c r="B18" s="1" t="str">
        <f>RegexReplace(test_files[[#This Row],[Name]],Sheet1!$B$2,Sheet1!$C$2)</f>
        <v>2528350000.idw.pdf</v>
      </c>
      <c r="C18" s="1" t="str">
        <f>RegexReplace(test_files[[#This Row],[Name]],Sheet1!$B$3,Sheet1!$C$3)</f>
        <v>pdf</v>
      </c>
      <c r="D18" s="1" t="str">
        <f>RegexReplace(test_files[[#This Row],[Regex 1st]],Sheet1!$B$4,Sheet1!$C$4)</f>
        <v>2528350000</v>
      </c>
      <c r="E18" s="1" t="str">
        <f>RegexReplace(test_files[[#This Row],[Regex3th]],Sheet1!$B$5,Sheet1!$C$5)</f>
        <v>2528350000</v>
      </c>
      <c r="F18" s="1" t="str">
        <f>RegexReplace(test_files[[#This Row],[Regex 4th]],Sheet1!$B$6,Sheet1!$C$6)</f>
        <v>2528350000</v>
      </c>
      <c r="G18" s="1" t="str">
        <f>StringReverse(test_files[[#This Row],[Regex 5th]])</f>
        <v>0000538252</v>
      </c>
      <c r="H18" s="1" t="str">
        <f>StringReverse(RegexReplace(test_files[[#This Row],[Reverse]],Sheet1!$B$8,Sheet1!$C$8))</f>
        <v>2 528 350 000</v>
      </c>
      <c r="I18" s="1" t="str">
        <f>RegexReplaceFirst(test_files[[#This Row],[Regex 7th]],Sheet1!$B$9,Sheet1!$C$9)&amp;"."&amp;test_files[[#This Row],[Regex 2nd]]</f>
        <v>2528 350 000.pdf</v>
      </c>
    </row>
    <row r="19" spans="1:9" x14ac:dyDescent="0.25">
      <c r="A19" s="1" t="s">
        <v>44</v>
      </c>
      <c r="B19" s="1" t="str">
        <f>RegexReplace(test_files[[#This Row],[Name]],Sheet1!$B$2,Sheet1!$C$2)</f>
        <v>2534452000_D-CompressionJoints-2.pdf</v>
      </c>
      <c r="C19" s="1" t="str">
        <f>RegexReplace(test_files[[#This Row],[Name]],Sheet1!$B$3,Sheet1!$C$3)</f>
        <v>pdf</v>
      </c>
      <c r="D19" s="1" t="str">
        <f>RegexReplace(test_files[[#This Row],[Regex 1st]],Sheet1!$B$4,Sheet1!$C$4)</f>
        <v>2534452000_D-CompressionJoints-2</v>
      </c>
      <c r="E19" s="1" t="str">
        <f>RegexReplace(test_files[[#This Row],[Regex3th]],Sheet1!$B$5,Sheet1!$C$5)</f>
        <v>2534452000</v>
      </c>
      <c r="F19" s="1" t="str">
        <f>RegexReplace(test_files[[#This Row],[Regex 4th]],Sheet1!$B$6,Sheet1!$C$6)</f>
        <v>2534452000</v>
      </c>
      <c r="G19" s="1" t="str">
        <f>StringReverse(test_files[[#This Row],[Regex 5th]])</f>
        <v>0002544352</v>
      </c>
      <c r="H19" s="1" t="str">
        <f>StringReverse(RegexReplace(test_files[[#This Row],[Reverse]],Sheet1!$B$8,Sheet1!$C$8))</f>
        <v>2 534 452 000</v>
      </c>
      <c r="I19" s="1" t="str">
        <f>RegexReplaceFirst(test_files[[#This Row],[Regex 7th]],Sheet1!$B$9,Sheet1!$C$9)&amp;"."&amp;test_files[[#This Row],[Regex 2nd]]</f>
        <v>2534 452 000.pdf</v>
      </c>
    </row>
    <row r="20" spans="1:9" x14ac:dyDescent="0.25">
      <c r="A20" s="1" t="s">
        <v>57</v>
      </c>
      <c r="B20" s="1" t="str">
        <f>RegexReplace(test_files[[#This Row],[Name]],Sheet1!$B$2,Sheet1!$C$2)</f>
        <v>2538519001_D-Feuille-1.pdf</v>
      </c>
      <c r="C20" s="1" t="str">
        <f>RegexReplace(test_files[[#This Row],[Name]],Sheet1!$B$3,Sheet1!$C$3)</f>
        <v>pdf</v>
      </c>
      <c r="D20" s="1" t="str">
        <f>RegexReplace(test_files[[#This Row],[Regex 1st]],Sheet1!$B$4,Sheet1!$C$4)</f>
        <v>2538519001_D-Feuille-1</v>
      </c>
      <c r="E20" s="1" t="str">
        <f>RegexReplace(test_files[[#This Row],[Regex3th]],Sheet1!$B$5,Sheet1!$C$5)</f>
        <v>2538519001</v>
      </c>
      <c r="F20" s="1" t="str">
        <f>RegexReplace(test_files[[#This Row],[Regex 4th]],Sheet1!$B$6,Sheet1!$C$6)</f>
        <v>2538519001</v>
      </c>
      <c r="G20" s="1" t="str">
        <f>StringReverse(test_files[[#This Row],[Regex 5th]])</f>
        <v>1009158352</v>
      </c>
      <c r="H20" s="1" t="str">
        <f>StringReverse(RegexReplace(test_files[[#This Row],[Reverse]],Sheet1!$B$8,Sheet1!$C$8))</f>
        <v>2 538 519 001</v>
      </c>
      <c r="I20" s="1" t="str">
        <f>RegexReplaceFirst(test_files[[#This Row],[Regex 7th]],Sheet1!$B$9,Sheet1!$C$9)&amp;"."&amp;test_files[[#This Row],[Regex 2nd]]</f>
        <v>2538 519 001.pdf</v>
      </c>
    </row>
    <row r="21" spans="1:9" x14ac:dyDescent="0.25">
      <c r="A21" s="1" t="s">
        <v>58</v>
      </c>
      <c r="B21" s="1" t="str">
        <f>RegexReplace(test_files[[#This Row],[Name]],Sheet1!$B$2,Sheet1!$C$2)</f>
        <v>2538519002_D-Feuille-1.pdf</v>
      </c>
      <c r="C21" s="1" t="str">
        <f>RegexReplace(test_files[[#This Row],[Name]],Sheet1!$B$3,Sheet1!$C$3)</f>
        <v>pdf</v>
      </c>
      <c r="D21" s="1" t="str">
        <f>RegexReplace(test_files[[#This Row],[Regex 1st]],Sheet1!$B$4,Sheet1!$C$4)</f>
        <v>2538519002_D-Feuille-1</v>
      </c>
      <c r="E21" s="1" t="str">
        <f>RegexReplace(test_files[[#This Row],[Regex3th]],Sheet1!$B$5,Sheet1!$C$5)</f>
        <v>2538519002</v>
      </c>
      <c r="F21" s="1" t="str">
        <f>RegexReplace(test_files[[#This Row],[Regex 4th]],Sheet1!$B$6,Sheet1!$C$6)</f>
        <v>2538519002</v>
      </c>
      <c r="G21" s="1" t="str">
        <f>StringReverse(test_files[[#This Row],[Regex 5th]])</f>
        <v>2009158352</v>
      </c>
      <c r="H21" s="1" t="str">
        <f>StringReverse(RegexReplace(test_files[[#This Row],[Reverse]],Sheet1!$B$8,Sheet1!$C$8))</f>
        <v>2 538 519 002</v>
      </c>
      <c r="I21" s="1" t="str">
        <f>RegexReplaceFirst(test_files[[#This Row],[Regex 7th]],Sheet1!$B$9,Sheet1!$C$9)&amp;"."&amp;test_files[[#This Row],[Regex 2nd]]</f>
        <v>2538 519 002.pdf</v>
      </c>
    </row>
    <row r="22" spans="1:9" x14ac:dyDescent="0.25">
      <c r="A22" s="1" t="s">
        <v>35</v>
      </c>
      <c r="B22" s="1" t="str">
        <f>RegexReplace(test_files[[#This Row],[Name]],Sheet1!$B$2,Sheet1!$C$2)</f>
        <v>2602400000_D-Feuille-1.pdf</v>
      </c>
      <c r="C22" s="1" t="str">
        <f>RegexReplace(test_files[[#This Row],[Name]],Sheet1!$B$3,Sheet1!$C$3)</f>
        <v>pdf</v>
      </c>
      <c r="D22" s="1" t="str">
        <f>RegexReplace(test_files[[#This Row],[Regex 1st]],Sheet1!$B$4,Sheet1!$C$4)</f>
        <v>2602400000_D-Feuille-1</v>
      </c>
      <c r="E22" s="1" t="str">
        <f>RegexReplace(test_files[[#This Row],[Regex3th]],Sheet1!$B$5,Sheet1!$C$5)</f>
        <v>2602400000</v>
      </c>
      <c r="F22" s="1" t="str">
        <f>RegexReplace(test_files[[#This Row],[Regex 4th]],Sheet1!$B$6,Sheet1!$C$6)</f>
        <v>2602400000</v>
      </c>
      <c r="G22" s="1" t="str">
        <f>StringReverse(test_files[[#This Row],[Regex 5th]])</f>
        <v>0000042062</v>
      </c>
      <c r="H22" s="1" t="str">
        <f>StringReverse(RegexReplace(test_files[[#This Row],[Reverse]],Sheet1!$B$8,Sheet1!$C$8))</f>
        <v>2 602 400 000</v>
      </c>
      <c r="I22" s="1" t="str">
        <f>RegexReplaceFirst(test_files[[#This Row],[Regex 7th]],Sheet1!$B$9,Sheet1!$C$9)&amp;"."&amp;test_files[[#This Row],[Regex 2nd]]</f>
        <v>2602 400 000.pdf</v>
      </c>
    </row>
    <row r="23" spans="1:9" x14ac:dyDescent="0.25">
      <c r="A23" s="1" t="s">
        <v>36</v>
      </c>
      <c r="B23" s="1" t="str">
        <f>RegexReplace(test_files[[#This Row],[Name]],Sheet1!$B$2,Sheet1!$C$2)</f>
        <v>2602400000_D-Feuille-2.pdf</v>
      </c>
      <c r="C23" s="1" t="str">
        <f>RegexReplace(test_files[[#This Row],[Name]],Sheet1!$B$3,Sheet1!$C$3)</f>
        <v>pdf</v>
      </c>
      <c r="D23" s="1" t="str">
        <f>RegexReplace(test_files[[#This Row],[Regex 1st]],Sheet1!$B$4,Sheet1!$C$4)</f>
        <v>2602400000_D-Feuille-2</v>
      </c>
      <c r="E23" s="1" t="str">
        <f>RegexReplace(test_files[[#This Row],[Regex3th]],Sheet1!$B$5,Sheet1!$C$5)</f>
        <v>2602400000</v>
      </c>
      <c r="F23" s="1" t="str">
        <f>RegexReplace(test_files[[#This Row],[Regex 4th]],Sheet1!$B$6,Sheet1!$C$6)</f>
        <v>2602400000</v>
      </c>
      <c r="G23" s="1" t="str">
        <f>StringReverse(test_files[[#This Row],[Regex 5th]])</f>
        <v>0000042062</v>
      </c>
      <c r="H23" s="1" t="str">
        <f>StringReverse(RegexReplace(test_files[[#This Row],[Reverse]],Sheet1!$B$8,Sheet1!$C$8))</f>
        <v>2 602 400 000</v>
      </c>
      <c r="I23" s="1" t="str">
        <f>RegexReplaceFirst(test_files[[#This Row],[Regex 7th]],Sheet1!$B$9,Sheet1!$C$9)&amp;"."&amp;test_files[[#This Row],[Regex 2nd]]</f>
        <v>2602 400 000.pdf</v>
      </c>
    </row>
    <row r="24" spans="1:9" x14ac:dyDescent="0.25">
      <c r="A24" s="1" t="s">
        <v>37</v>
      </c>
      <c r="B24" s="1" t="str">
        <f>RegexReplace(test_files[[#This Row],[Name]],Sheet1!$B$2,Sheet1!$C$2)</f>
        <v>2602400001_D-Feuille-1.pdf</v>
      </c>
      <c r="C24" s="1" t="str">
        <f>RegexReplace(test_files[[#This Row],[Name]],Sheet1!$B$3,Sheet1!$C$3)</f>
        <v>pdf</v>
      </c>
      <c r="D24" s="1" t="str">
        <f>RegexReplace(test_files[[#This Row],[Regex 1st]],Sheet1!$B$4,Sheet1!$C$4)</f>
        <v>2602400001_D-Feuille-1</v>
      </c>
      <c r="E24" s="1" t="str">
        <f>RegexReplace(test_files[[#This Row],[Regex3th]],Sheet1!$B$5,Sheet1!$C$5)</f>
        <v>2602400001</v>
      </c>
      <c r="F24" s="1" t="str">
        <f>RegexReplace(test_files[[#This Row],[Regex 4th]],Sheet1!$B$6,Sheet1!$C$6)</f>
        <v>2602400001</v>
      </c>
      <c r="G24" s="1" t="str">
        <f>StringReverse(test_files[[#This Row],[Regex 5th]])</f>
        <v>1000042062</v>
      </c>
      <c r="H24" s="1" t="str">
        <f>StringReverse(RegexReplace(test_files[[#This Row],[Reverse]],Sheet1!$B$8,Sheet1!$C$8))</f>
        <v>2 602 400 001</v>
      </c>
      <c r="I24" s="1" t="str">
        <f>RegexReplaceFirst(test_files[[#This Row],[Regex 7th]],Sheet1!$B$9,Sheet1!$C$9)&amp;"."&amp;test_files[[#This Row],[Regex 2nd]]</f>
        <v>2602 400 001.pdf</v>
      </c>
    </row>
    <row r="25" spans="1:9" x14ac:dyDescent="0.25">
      <c r="A25" s="1" t="s">
        <v>38</v>
      </c>
      <c r="B25" s="1" t="str">
        <f>RegexReplace(test_files[[#This Row],[Name]],Sheet1!$B$2,Sheet1!$C$2)</f>
        <v>2602400001_D-Feuille-2.pdf</v>
      </c>
      <c r="C25" s="1" t="str">
        <f>RegexReplace(test_files[[#This Row],[Name]],Sheet1!$B$3,Sheet1!$C$3)</f>
        <v>pdf</v>
      </c>
      <c r="D25" s="1" t="str">
        <f>RegexReplace(test_files[[#This Row],[Regex 1st]],Sheet1!$B$4,Sheet1!$C$4)</f>
        <v>2602400001_D-Feuille-2</v>
      </c>
      <c r="E25" s="1" t="str">
        <f>RegexReplace(test_files[[#This Row],[Regex3th]],Sheet1!$B$5,Sheet1!$C$5)</f>
        <v>2602400001</v>
      </c>
      <c r="F25" s="1" t="str">
        <f>RegexReplace(test_files[[#This Row],[Regex 4th]],Sheet1!$B$6,Sheet1!$C$6)</f>
        <v>2602400001</v>
      </c>
      <c r="G25" s="1" t="str">
        <f>StringReverse(test_files[[#This Row],[Regex 5th]])</f>
        <v>1000042062</v>
      </c>
      <c r="H25" s="1" t="str">
        <f>StringReverse(RegexReplace(test_files[[#This Row],[Reverse]],Sheet1!$B$8,Sheet1!$C$8))</f>
        <v>2 602 400 001</v>
      </c>
      <c r="I25" s="1" t="str">
        <f>RegexReplaceFirst(test_files[[#This Row],[Regex 7th]],Sheet1!$B$9,Sheet1!$C$9)&amp;"."&amp;test_files[[#This Row],[Regex 2nd]]</f>
        <v>2602 400 001.pdf</v>
      </c>
    </row>
    <row r="26" spans="1:9" x14ac:dyDescent="0.25">
      <c r="A26" s="1" t="s">
        <v>39</v>
      </c>
      <c r="B26" s="1" t="str">
        <f>RegexReplace(test_files[[#This Row],[Name]],Sheet1!$B$2,Sheet1!$C$2)</f>
        <v>2602400001_D-Feuille-3.pdf</v>
      </c>
      <c r="C26" s="1" t="str">
        <f>RegexReplace(test_files[[#This Row],[Name]],Sheet1!$B$3,Sheet1!$C$3)</f>
        <v>pdf</v>
      </c>
      <c r="D26" s="1" t="str">
        <f>RegexReplace(test_files[[#This Row],[Regex 1st]],Sheet1!$B$4,Sheet1!$C$4)</f>
        <v>2602400001_D-Feuille-3</v>
      </c>
      <c r="E26" s="1" t="str">
        <f>RegexReplace(test_files[[#This Row],[Regex3th]],Sheet1!$B$5,Sheet1!$C$5)</f>
        <v>2602400001</v>
      </c>
      <c r="F26" s="1" t="str">
        <f>RegexReplace(test_files[[#This Row],[Regex 4th]],Sheet1!$B$6,Sheet1!$C$6)</f>
        <v>2602400001</v>
      </c>
      <c r="G26" s="1" t="str">
        <f>StringReverse(test_files[[#This Row],[Regex 5th]])</f>
        <v>1000042062</v>
      </c>
      <c r="H26" s="1" t="str">
        <f>StringReverse(RegexReplace(test_files[[#This Row],[Reverse]],Sheet1!$B$8,Sheet1!$C$8))</f>
        <v>2 602 400 001</v>
      </c>
      <c r="I26" s="1" t="str">
        <f>RegexReplaceFirst(test_files[[#This Row],[Regex 7th]],Sheet1!$B$9,Sheet1!$C$9)&amp;"."&amp;test_files[[#This Row],[Regex 2nd]]</f>
        <v>2602 400 001.pdf</v>
      </c>
    </row>
    <row r="27" spans="1:9" x14ac:dyDescent="0.25">
      <c r="A27" s="1" t="s">
        <v>40</v>
      </c>
      <c r="B27" s="1" t="str">
        <f>RegexReplace(test_files[[#This Row],[Name]],Sheet1!$B$2,Sheet1!$C$2)</f>
        <v>2602400001_D-Feuille-4.pdf</v>
      </c>
      <c r="C27" s="1" t="str">
        <f>RegexReplace(test_files[[#This Row],[Name]],Sheet1!$B$3,Sheet1!$C$3)</f>
        <v>pdf</v>
      </c>
      <c r="D27" s="1" t="str">
        <f>RegexReplace(test_files[[#This Row],[Regex 1st]],Sheet1!$B$4,Sheet1!$C$4)</f>
        <v>2602400001_D-Feuille-4</v>
      </c>
      <c r="E27" s="1" t="str">
        <f>RegexReplace(test_files[[#This Row],[Regex3th]],Sheet1!$B$5,Sheet1!$C$5)</f>
        <v>2602400001</v>
      </c>
      <c r="F27" s="1" t="str">
        <f>RegexReplace(test_files[[#This Row],[Regex 4th]],Sheet1!$B$6,Sheet1!$C$6)</f>
        <v>2602400001</v>
      </c>
      <c r="G27" s="1" t="str">
        <f>StringReverse(test_files[[#This Row],[Regex 5th]])</f>
        <v>1000042062</v>
      </c>
      <c r="H27" s="1" t="str">
        <f>StringReverse(RegexReplace(test_files[[#This Row],[Reverse]],Sheet1!$B$8,Sheet1!$C$8))</f>
        <v>2 602 400 001</v>
      </c>
      <c r="I27" s="1" t="str">
        <f>RegexReplaceFirst(test_files[[#This Row],[Regex 7th]],Sheet1!$B$9,Sheet1!$C$9)&amp;"."&amp;test_files[[#This Row],[Regex 2nd]]</f>
        <v>2602 400 001.pdf</v>
      </c>
    </row>
    <row r="28" spans="1:9" x14ac:dyDescent="0.25">
      <c r="A28" s="1" t="s">
        <v>41</v>
      </c>
      <c r="B28" s="1" t="str">
        <f>RegexReplace(test_files[[#This Row],[Name]],Sheet1!$B$2,Sheet1!$C$2)</f>
        <v>2602400001_D-Feuille-5.pdf</v>
      </c>
      <c r="C28" s="1" t="str">
        <f>RegexReplace(test_files[[#This Row],[Name]],Sheet1!$B$3,Sheet1!$C$3)</f>
        <v>pdf</v>
      </c>
      <c r="D28" s="1" t="str">
        <f>RegexReplace(test_files[[#This Row],[Regex 1st]],Sheet1!$B$4,Sheet1!$C$4)</f>
        <v>2602400001_D-Feuille-5</v>
      </c>
      <c r="E28" s="1" t="str">
        <f>RegexReplace(test_files[[#This Row],[Regex3th]],Sheet1!$B$5,Sheet1!$C$5)</f>
        <v>2602400001</v>
      </c>
      <c r="F28" s="1" t="str">
        <f>RegexReplace(test_files[[#This Row],[Regex 4th]],Sheet1!$B$6,Sheet1!$C$6)</f>
        <v>2602400001</v>
      </c>
      <c r="G28" s="1" t="str">
        <f>StringReverse(test_files[[#This Row],[Regex 5th]])</f>
        <v>1000042062</v>
      </c>
      <c r="H28" s="1" t="str">
        <f>StringReverse(RegexReplace(test_files[[#This Row],[Reverse]],Sheet1!$B$8,Sheet1!$C$8))</f>
        <v>2 602 400 001</v>
      </c>
      <c r="I28" s="1" t="str">
        <f>RegexReplaceFirst(test_files[[#This Row],[Regex 7th]],Sheet1!$B$9,Sheet1!$C$9)&amp;"."&amp;test_files[[#This Row],[Regex 2nd]]</f>
        <v>2602 400 001.pdf</v>
      </c>
    </row>
    <row r="29" spans="1:9" x14ac:dyDescent="0.25">
      <c r="A29" s="1" t="s">
        <v>42</v>
      </c>
      <c r="B29" s="1" t="str">
        <f>RegexReplace(test_files[[#This Row],[Name]],Sheet1!$B$2,Sheet1!$C$2)</f>
        <v>2602400003_D-Feuille-1.pdf</v>
      </c>
      <c r="C29" s="1" t="str">
        <f>RegexReplace(test_files[[#This Row],[Name]],Sheet1!$B$3,Sheet1!$C$3)</f>
        <v>pdf</v>
      </c>
      <c r="D29" s="1" t="str">
        <f>RegexReplace(test_files[[#This Row],[Regex 1st]],Sheet1!$B$4,Sheet1!$C$4)</f>
        <v>2602400003_D-Feuille-1</v>
      </c>
      <c r="E29" s="1" t="str">
        <f>RegexReplace(test_files[[#This Row],[Regex3th]],Sheet1!$B$5,Sheet1!$C$5)</f>
        <v>2602400003</v>
      </c>
      <c r="F29" s="1" t="str">
        <f>RegexReplace(test_files[[#This Row],[Regex 4th]],Sheet1!$B$6,Sheet1!$C$6)</f>
        <v>2602400003</v>
      </c>
      <c r="G29" s="1" t="str">
        <f>StringReverse(test_files[[#This Row],[Regex 5th]])</f>
        <v>3000042062</v>
      </c>
      <c r="H29" s="1" t="str">
        <f>StringReverse(RegexReplace(test_files[[#This Row],[Reverse]],Sheet1!$B$8,Sheet1!$C$8))</f>
        <v>2 602 400 003</v>
      </c>
      <c r="I29" s="1" t="str">
        <f>RegexReplaceFirst(test_files[[#This Row],[Regex 7th]],Sheet1!$B$9,Sheet1!$C$9)&amp;"."&amp;test_files[[#This Row],[Regex 2nd]]</f>
        <v>2602 400 003.pdf</v>
      </c>
    </row>
    <row r="30" spans="1:9" x14ac:dyDescent="0.25">
      <c r="A30" s="1" t="s">
        <v>43</v>
      </c>
      <c r="B30" s="1" t="str">
        <f>RegexReplace(test_files[[#This Row],[Name]],Sheet1!$B$2,Sheet1!$C$2)</f>
        <v>2602401002_D-Feuille-1.pdf</v>
      </c>
      <c r="C30" s="1" t="str">
        <f>RegexReplace(test_files[[#This Row],[Name]],Sheet1!$B$3,Sheet1!$C$3)</f>
        <v>pdf</v>
      </c>
      <c r="D30" s="1" t="str">
        <f>RegexReplace(test_files[[#This Row],[Regex 1st]],Sheet1!$B$4,Sheet1!$C$4)</f>
        <v>2602401002_D-Feuille-1</v>
      </c>
      <c r="E30" s="1" t="str">
        <f>RegexReplace(test_files[[#This Row],[Regex3th]],Sheet1!$B$5,Sheet1!$C$5)</f>
        <v>2602401002</v>
      </c>
      <c r="F30" s="1" t="str">
        <f>RegexReplace(test_files[[#This Row],[Regex 4th]],Sheet1!$B$6,Sheet1!$C$6)</f>
        <v>2602401002</v>
      </c>
      <c r="G30" s="1" t="str">
        <f>StringReverse(test_files[[#This Row],[Regex 5th]])</f>
        <v>2001042062</v>
      </c>
      <c r="H30" s="1" t="str">
        <f>StringReverse(RegexReplace(test_files[[#This Row],[Reverse]],Sheet1!$B$8,Sheet1!$C$8))</f>
        <v>2 602 401 002</v>
      </c>
      <c r="I30" s="1" t="str">
        <f>RegexReplaceFirst(test_files[[#This Row],[Regex 7th]],Sheet1!$B$9,Sheet1!$C$9)&amp;"."&amp;test_files[[#This Row],[Regex 2nd]]</f>
        <v>2602 401 002.pdf</v>
      </c>
    </row>
    <row r="31" spans="1:9" x14ac:dyDescent="0.25">
      <c r="A31" s="1" t="s">
        <v>45</v>
      </c>
      <c r="B31" s="1" t="str">
        <f>RegexReplace(test_files[[#This Row],[Name]],Sheet1!$B$2,Sheet1!$C$2)</f>
        <v>990403003.pdf</v>
      </c>
      <c r="C31" s="1" t="str">
        <f>RegexReplace(test_files[[#This Row],[Name]],Sheet1!$B$3,Sheet1!$C$3)</f>
        <v>pdf</v>
      </c>
      <c r="D31" s="1" t="str">
        <f>RegexReplace(test_files[[#This Row],[Regex 1st]],Sheet1!$B$4,Sheet1!$C$4)</f>
        <v>990403003</v>
      </c>
      <c r="E31" s="1" t="str">
        <f>RegexReplace(test_files[[#This Row],[Regex3th]],Sheet1!$B$5,Sheet1!$C$5)</f>
        <v>990403003</v>
      </c>
      <c r="F31" s="1" t="str">
        <f>RegexReplace(test_files[[#This Row],[Regex 4th]],Sheet1!$B$6,Sheet1!$C$6)</f>
        <v>990403003</v>
      </c>
      <c r="G31" s="1" t="str">
        <f>StringReverse(test_files[[#This Row],[Regex 5th]])</f>
        <v>300304099</v>
      </c>
      <c r="H31" s="1" t="str">
        <f>StringReverse(RegexReplace(test_files[[#This Row],[Reverse]],Sheet1!$B$8,Sheet1!$C$8))</f>
        <v xml:space="preserve"> 990 403 003</v>
      </c>
      <c r="I31" s="1" t="str">
        <f>RegexReplaceFirst(test_files[[#This Row],[Regex 7th]],Sheet1!$B$9,Sheet1!$C$9)&amp;"."&amp;test_files[[#This Row],[Regex 2nd]]</f>
        <v>990 403 003.pdf</v>
      </c>
    </row>
    <row r="32" spans="1:9" x14ac:dyDescent="0.25">
      <c r="A32" s="1" t="s">
        <v>46</v>
      </c>
      <c r="B32" s="1" t="str">
        <f>RegexReplace(test_files[[#This Row],[Name]],Sheet1!$B$2,Sheet1!$C$2)</f>
        <v>990403003_2.pdf</v>
      </c>
      <c r="C32" s="1" t="str">
        <f>RegexReplace(test_files[[#This Row],[Name]],Sheet1!$B$3,Sheet1!$C$3)</f>
        <v>pdf</v>
      </c>
      <c r="D32" s="1" t="str">
        <f>RegexReplace(test_files[[#This Row],[Regex 1st]],Sheet1!$B$4,Sheet1!$C$4)</f>
        <v>990403003_2</v>
      </c>
      <c r="E32" s="1" t="str">
        <f>RegexReplace(test_files[[#This Row],[Regex3th]],Sheet1!$B$5,Sheet1!$C$5)</f>
        <v>990403003_2</v>
      </c>
      <c r="F32" s="1" t="str">
        <f>RegexReplace(test_files[[#This Row],[Regex 4th]],Sheet1!$B$6,Sheet1!$C$6)</f>
        <v>2</v>
      </c>
      <c r="G32" s="1" t="str">
        <f>StringReverse(test_files[[#This Row],[Regex 5th]])</f>
        <v>2</v>
      </c>
      <c r="H32" s="1" t="str">
        <f>StringReverse(RegexReplace(test_files[[#This Row],[Reverse]],Sheet1!$B$8,Sheet1!$C$8))</f>
        <v>2</v>
      </c>
      <c r="I32" s="1" t="str">
        <f>RegexReplaceFirst(test_files[[#This Row],[Regex 7th]],Sheet1!$B$9,Sheet1!$C$9)&amp;"."&amp;test_files[[#This Row],[Regex 2nd]]</f>
        <v>2.pdf</v>
      </c>
    </row>
    <row r="33" spans="1:11" x14ac:dyDescent="0.25">
      <c r="A33" s="1" t="s">
        <v>47</v>
      </c>
      <c r="B33" t="str">
        <f>RegexReplace(test_files[[#This Row],[Name]],Sheet1!$B$2,Sheet1!$C$2)</f>
        <v>990403003_3.pdf</v>
      </c>
      <c r="C33" t="str">
        <f>RegexReplace(test_files[[#This Row],[Name]],Sheet1!$B$3,Sheet1!$C$3)</f>
        <v>pdf</v>
      </c>
      <c r="D33" t="str">
        <f>RegexReplace(test_files[[#This Row],[Regex 1st]],Sheet1!$B$4,Sheet1!$C$4)</f>
        <v>990403003_3</v>
      </c>
      <c r="E33" t="str">
        <f>RegexReplace(test_files[[#This Row],[Regex3th]],Sheet1!$B$5,Sheet1!$C$5)</f>
        <v>990403003_3</v>
      </c>
      <c r="F33" t="str">
        <f>RegexReplace(test_files[[#This Row],[Regex 4th]],Sheet1!$B$6,Sheet1!$C$6)</f>
        <v>3</v>
      </c>
      <c r="G33" t="str">
        <f>StringReverse(test_files[[#This Row],[Regex 5th]])</f>
        <v>3</v>
      </c>
      <c r="H33" t="str">
        <f>StringReverse(RegexReplace(test_files[[#This Row],[Reverse]],Sheet1!$B$8,Sheet1!$C$8))</f>
        <v>3</v>
      </c>
      <c r="I33" t="str">
        <f>RegexReplaceFirst(test_files[[#This Row],[Regex 7th]],Sheet1!$B$9,Sheet1!$C$9)&amp;"."&amp;test_files[[#This Row],[Regex 2nd]]</f>
        <v>3.pdf</v>
      </c>
    </row>
    <row r="37" spans="1:11" x14ac:dyDescent="0.25">
      <c r="A37" t="str">
        <f>RegexFindFirst(A11,"(\d{3,4} ?){3}")</f>
        <v>2491401006</v>
      </c>
    </row>
    <row r="38" spans="1:11" x14ac:dyDescent="0.25">
      <c r="A38" t="str">
        <f>RegexReplace(A6,"(\d{3,4} ?){3}","test")</f>
        <v>test.pdf</v>
      </c>
    </row>
    <row r="39" spans="1:11" x14ac:dyDescent="0.25">
      <c r="A39" t="str">
        <f>RegexReplace(A2,"(\d{3,4} ?){3}","test")</f>
        <v>testA.dwg</v>
      </c>
    </row>
    <row r="41" spans="1:11" x14ac:dyDescent="0.25">
      <c r="D41" t="str">
        <f>C42</f>
        <v>(\d{3,4}( )*){3}\.(Nomenclature)\.([A-Za-z]+)(.pdf)</v>
      </c>
      <c r="E41" t="str">
        <f>C44</f>
        <v>(\d{3,4}\s*){3}(_D-)(.*)(-[0-9])(.pdf)</v>
      </c>
      <c r="F41" t="str">
        <f>C45</f>
        <v>(\d{3,4}( )*){3}(_D-)([A-Za-z]+)(-)([0-9]+)(.pdf)</v>
      </c>
      <c r="G41" t="str">
        <f>C46</f>
        <v>(\d{3,4}( )*){3}(\.[a-zA-Z]*)*(.dwf)</v>
      </c>
      <c r="H41" t="str">
        <f>C47</f>
        <v>(\d{3,4}( )*){3}([a-zA-Z]*)(\.[a-zA-Z]+)*(.dwg)</v>
      </c>
      <c r="I41" t="str">
        <f>C49</f>
        <v>(\d{3,4}( )*){3}([a-zA-Z])(\.[a-zA-Z]+)*(.pdf)</v>
      </c>
      <c r="J41" t="str">
        <f>C50</f>
        <v>(\d{3,4}( )*){3}(\.idw)*(_[0-9]+)*(.pdf)</v>
      </c>
      <c r="K41" t="str">
        <f>C51</f>
        <v>(\d{3,4}( )*){3}(\.idw)*(_[0-9]+)*(.pdf)</v>
      </c>
    </row>
    <row r="42" spans="1:11" x14ac:dyDescent="0.25">
      <c r="A42" s="2" t="s">
        <v>50</v>
      </c>
      <c r="B42" t="str">
        <f>RegexReplace(A42,C42,"test")</f>
        <v>test</v>
      </c>
      <c r="C42" t="s">
        <v>61</v>
      </c>
      <c r="D42" t="str">
        <f>RegexReplace($A42,D$41,"test")</f>
        <v>test</v>
      </c>
      <c r="E42" t="str">
        <f t="shared" ref="E42:H43" si="0">RegexReplace($A42,E$41,"test")</f>
        <v>2528 350 000.Nomenclature.Anglais.pdf</v>
      </c>
      <c r="F42" t="str">
        <f t="shared" si="0"/>
        <v>2528 350 000.Nomenclature.Anglais.pdf</v>
      </c>
      <c r="G42" t="str">
        <f t="shared" si="0"/>
        <v>2528 350 000.Nomenclature.Anglais.pdf</v>
      </c>
      <c r="H42" t="str">
        <f t="shared" si="0"/>
        <v>2528 350 000.Nomenclature.Anglais.pdf</v>
      </c>
      <c r="I42" t="str">
        <f t="shared" ref="D42:K51" si="1">RegexReplace($A42,I$41,"test")</f>
        <v>2528 350 000.Nomenclature.Anglais.pdf</v>
      </c>
      <c r="J42" t="str">
        <f t="shared" si="1"/>
        <v>2528 350 000.Nomenclature.Anglais.pdf</v>
      </c>
      <c r="K42" t="str">
        <f t="shared" si="1"/>
        <v>2528 350 000.Nomenclature.Anglais.pdf</v>
      </c>
    </row>
    <row r="43" spans="1:11" x14ac:dyDescent="0.25">
      <c r="D43" t="str">
        <f t="shared" si="1"/>
        <v/>
      </c>
      <c r="E43" t="str">
        <f t="shared" si="0"/>
        <v/>
      </c>
      <c r="F43" t="str">
        <f t="shared" si="0"/>
        <v/>
      </c>
      <c r="G43" t="str">
        <f t="shared" si="0"/>
        <v/>
      </c>
      <c r="H43" t="str">
        <f t="shared" si="0"/>
        <v/>
      </c>
      <c r="I43" t="str">
        <f t="shared" si="1"/>
        <v/>
      </c>
      <c r="K43" t="str">
        <f t="shared" si="1"/>
        <v/>
      </c>
    </row>
    <row r="44" spans="1:11" x14ac:dyDescent="0.25">
      <c r="A44" s="3" t="s">
        <v>44</v>
      </c>
      <c r="B44" t="str">
        <f t="shared" ref="B44:B51" si="2">RegexReplace(A44,C44,"test")</f>
        <v>test</v>
      </c>
      <c r="C44" t="s">
        <v>64</v>
      </c>
      <c r="D44" t="str">
        <f t="shared" si="1"/>
        <v>2534 452 000_D-Compression Joints-2.pdf</v>
      </c>
      <c r="E44" t="str">
        <f t="shared" si="1"/>
        <v>test</v>
      </c>
      <c r="F44" t="str">
        <f t="shared" si="1"/>
        <v>2534 452 000_D-Compression Joints-2.pdf</v>
      </c>
      <c r="G44" t="str">
        <f t="shared" si="1"/>
        <v>2534 452 000_D-Compression Joints-2.pdf</v>
      </c>
      <c r="H44" t="str">
        <f t="shared" si="1"/>
        <v>2534 452 000_D-Compression Joints-2.pdf</v>
      </c>
      <c r="I44" t="str">
        <f t="shared" si="1"/>
        <v>2534 452 000_D-Compression Joints-2.pdf</v>
      </c>
      <c r="J44" t="str">
        <f t="shared" si="1"/>
        <v>2534 452 000_D-Compression Joints-2.pdf</v>
      </c>
      <c r="K44" t="str">
        <f t="shared" si="1"/>
        <v>2534 452 000_D-Compression Joints-2.pdf</v>
      </c>
    </row>
    <row r="45" spans="1:11" x14ac:dyDescent="0.25">
      <c r="A45" s="2" t="s">
        <v>57</v>
      </c>
      <c r="B45" t="str">
        <f t="shared" si="2"/>
        <v>test</v>
      </c>
      <c r="C45" t="s">
        <v>60</v>
      </c>
      <c r="D45" t="str">
        <f t="shared" si="1"/>
        <v>2538 519 001_D-Feuille-1.pdf</v>
      </c>
      <c r="E45" t="str">
        <f t="shared" si="1"/>
        <v>test</v>
      </c>
      <c r="F45" t="str">
        <f t="shared" si="1"/>
        <v>test</v>
      </c>
      <c r="G45" t="str">
        <f t="shared" si="1"/>
        <v>2538 519 001_D-Feuille-1.pdf</v>
      </c>
      <c r="H45" t="str">
        <f t="shared" si="1"/>
        <v>2538 519 001_D-Feuille-1.pdf</v>
      </c>
      <c r="I45" t="str">
        <f t="shared" si="1"/>
        <v>2538 519 001_D-Feuille-1.pdf</v>
      </c>
      <c r="J45" t="str">
        <f t="shared" si="1"/>
        <v>2538 519 001_D-Feuille-1.pdf</v>
      </c>
      <c r="K45" t="str">
        <f t="shared" si="1"/>
        <v>2538 519 001_D-Feuille-1.pdf</v>
      </c>
    </row>
    <row r="46" spans="1:11" x14ac:dyDescent="0.25">
      <c r="A46" s="3" t="s">
        <v>34</v>
      </c>
      <c r="B46" t="str">
        <f t="shared" si="2"/>
        <v>test</v>
      </c>
      <c r="C46" t="s">
        <v>59</v>
      </c>
      <c r="D46" t="str">
        <f t="shared" si="1"/>
        <v>2491401006.idw.dwf</v>
      </c>
      <c r="E46" t="str">
        <f t="shared" si="1"/>
        <v>2491401006.idw.dwf</v>
      </c>
      <c r="F46" t="str">
        <f t="shared" si="1"/>
        <v>2491401006.idw.dwf</v>
      </c>
      <c r="G46" t="str">
        <f t="shared" si="1"/>
        <v>test</v>
      </c>
      <c r="H46" t="str">
        <f t="shared" si="1"/>
        <v>2491401006.idw.dwf</v>
      </c>
      <c r="I46" t="str">
        <f t="shared" si="1"/>
        <v>2491401006.idw.dwf</v>
      </c>
      <c r="J46" t="str">
        <f t="shared" si="1"/>
        <v>2491401006.idw.dwf</v>
      </c>
      <c r="K46" t="str">
        <f t="shared" si="1"/>
        <v>2491401006.idw.dwf</v>
      </c>
    </row>
    <row r="47" spans="1:11" x14ac:dyDescent="0.25">
      <c r="A47" s="2" t="s">
        <v>24</v>
      </c>
      <c r="B47" t="str">
        <f t="shared" si="2"/>
        <v>test</v>
      </c>
      <c r="C47" t="s">
        <v>76</v>
      </c>
      <c r="D47" t="str">
        <f t="shared" si="1"/>
        <v>000100026A.dwg</v>
      </c>
      <c r="E47" t="str">
        <f t="shared" si="1"/>
        <v>000100026A.dwg</v>
      </c>
      <c r="F47" t="str">
        <f t="shared" si="1"/>
        <v>000100026A.dwg</v>
      </c>
      <c r="G47" t="str">
        <f t="shared" si="1"/>
        <v>000100026A.dwg</v>
      </c>
      <c r="H47" t="str">
        <f t="shared" si="1"/>
        <v>test</v>
      </c>
      <c r="I47" t="str">
        <f t="shared" si="1"/>
        <v>000100026A.dwg</v>
      </c>
      <c r="J47" t="str">
        <f t="shared" si="1"/>
        <v>000100026A.dwg</v>
      </c>
      <c r="K47" t="str">
        <f t="shared" si="1"/>
        <v>000100026A.dwg</v>
      </c>
    </row>
    <row r="48" spans="1:11" x14ac:dyDescent="0.25">
      <c r="A48" s="6" t="s">
        <v>75</v>
      </c>
      <c r="B48" t="str">
        <f t="shared" si="2"/>
        <v>test</v>
      </c>
      <c r="C48" t="str">
        <f>C47</f>
        <v>(\d{3,4}( )*){3}([a-zA-Z]*)(\.[a-zA-Z]+)*(.dwg)</v>
      </c>
    </row>
    <row r="49" spans="1:11" x14ac:dyDescent="0.25">
      <c r="A49" s="4" t="s">
        <v>62</v>
      </c>
      <c r="B49" t="str">
        <f t="shared" si="2"/>
        <v>test</v>
      </c>
      <c r="C49" t="s">
        <v>63</v>
      </c>
      <c r="D49" t="str">
        <f t="shared" si="1"/>
        <v>000100026A.pdf</v>
      </c>
      <c r="E49" t="str">
        <f t="shared" si="1"/>
        <v>000100026A.pdf</v>
      </c>
      <c r="F49" t="str">
        <f t="shared" si="1"/>
        <v>000100026A.pdf</v>
      </c>
      <c r="G49" t="str">
        <f t="shared" si="1"/>
        <v>000100026A.pdf</v>
      </c>
      <c r="H49" t="str">
        <f t="shared" si="1"/>
        <v>000100026A.pdf</v>
      </c>
      <c r="I49" t="str">
        <f t="shared" si="1"/>
        <v>test</v>
      </c>
      <c r="J49" t="str">
        <f t="shared" si="1"/>
        <v>000100026A.pdf</v>
      </c>
      <c r="K49" t="str">
        <f t="shared" si="1"/>
        <v>000100026A.pdf</v>
      </c>
    </row>
    <row r="50" spans="1:11" x14ac:dyDescent="0.25">
      <c r="A50" t="s">
        <v>65</v>
      </c>
      <c r="B50" t="str">
        <f t="shared" si="2"/>
        <v>test</v>
      </c>
      <c r="C50" t="s">
        <v>74</v>
      </c>
      <c r="D50" t="str">
        <f t="shared" si="1"/>
        <v>2528200000.idw_3.pdf</v>
      </c>
      <c r="E50" t="str">
        <f t="shared" si="1"/>
        <v>2528200000.idw_3.pdf</v>
      </c>
      <c r="F50" t="str">
        <f t="shared" si="1"/>
        <v>2528200000.idw_3.pdf</v>
      </c>
      <c r="G50" t="str">
        <f t="shared" si="1"/>
        <v>2528200000.idw_3.pdf</v>
      </c>
      <c r="H50" t="str">
        <f t="shared" si="1"/>
        <v>2528200000.idw_3.pdf</v>
      </c>
      <c r="I50" t="str">
        <f t="shared" si="1"/>
        <v>2528200000.idw_3.pdf</v>
      </c>
      <c r="J50" t="str">
        <f t="shared" si="1"/>
        <v>test</v>
      </c>
      <c r="K50" t="str">
        <f t="shared" si="1"/>
        <v>test</v>
      </c>
    </row>
    <row r="51" spans="1:11" x14ac:dyDescent="0.25">
      <c r="A51" t="s">
        <v>73</v>
      </c>
      <c r="B51" t="str">
        <f t="shared" si="2"/>
        <v>test</v>
      </c>
      <c r="C51" t="s">
        <v>74</v>
      </c>
      <c r="D51" t="str">
        <f t="shared" si="1"/>
        <v>2528200000.idw.pdf</v>
      </c>
      <c r="E51" t="str">
        <f t="shared" si="1"/>
        <v>2528200000.idw.pdf</v>
      </c>
      <c r="F51" t="str">
        <f t="shared" si="1"/>
        <v>2528200000.idw.pdf</v>
      </c>
      <c r="G51" t="str">
        <f t="shared" si="1"/>
        <v>2528200000.idw.pdf</v>
      </c>
      <c r="H51" t="str">
        <f t="shared" si="1"/>
        <v>2528200000.idw.pdf</v>
      </c>
      <c r="I51" t="str">
        <f t="shared" si="1"/>
        <v>2528200000.idw.pdf</v>
      </c>
      <c r="J51" t="str">
        <f t="shared" si="1"/>
        <v>test</v>
      </c>
      <c r="K51" t="str">
        <f t="shared" si="1"/>
        <v>test</v>
      </c>
    </row>
    <row r="53" spans="1:11" x14ac:dyDescent="0.25">
      <c r="C53" s="5"/>
    </row>
    <row r="56" spans="1:11" x14ac:dyDescent="0.25">
      <c r="A56" s="5"/>
    </row>
    <row r="57" spans="1:11" x14ac:dyDescent="0.25">
      <c r="A57" s="2"/>
    </row>
    <row r="59" spans="1:11" x14ac:dyDescent="0.25">
      <c r="A59" t="s">
        <v>73</v>
      </c>
      <c r="B59" t="str">
        <f>RegexReplace(A59,C59,"")</f>
        <v>2528200000.idw.pdf</v>
      </c>
      <c r="C59" t="s">
        <v>66</v>
      </c>
    </row>
    <row r="60" spans="1:11" x14ac:dyDescent="0.25">
      <c r="A60" t="s">
        <v>69</v>
      </c>
      <c r="B60" t="str">
        <f>RegexReplace(A59,C60,"")</f>
        <v>2528200000.idw.pdf</v>
      </c>
      <c r="C60" t="s">
        <v>66</v>
      </c>
    </row>
    <row r="61" spans="1:11" x14ac:dyDescent="0.25">
      <c r="A61" t="s">
        <v>68</v>
      </c>
      <c r="B61" t="str">
        <f>RegexFindFirst(B60,C61)</f>
        <v>2528200000</v>
      </c>
      <c r="C61" t="s">
        <v>67</v>
      </c>
    </row>
    <row r="62" spans="1:11" x14ac:dyDescent="0.25">
      <c r="A62" t="s">
        <v>68</v>
      </c>
      <c r="B62" t="str">
        <f>RegexReplace(B61," ","")</f>
        <v>2528200000</v>
      </c>
    </row>
    <row r="63" spans="1:11" x14ac:dyDescent="0.25">
      <c r="A63" t="s">
        <v>68</v>
      </c>
      <c r="B63" t="str">
        <f>StringReverse(B62)</f>
        <v>0000028252</v>
      </c>
    </row>
    <row r="64" spans="1:11" x14ac:dyDescent="0.25">
      <c r="A64" t="s">
        <v>70</v>
      </c>
      <c r="B64" t="str">
        <f>RegexFindFirst(B63,C64)</f>
        <v>000</v>
      </c>
      <c r="C64" t="s">
        <v>15</v>
      </c>
    </row>
    <row r="65" spans="1:3" x14ac:dyDescent="0.25">
      <c r="A65" t="s">
        <v>68</v>
      </c>
      <c r="B65" t="str">
        <f>RegexReplaceFirst(B63,C65,"")</f>
        <v>0028252</v>
      </c>
      <c r="C65" t="s">
        <v>15</v>
      </c>
    </row>
    <row r="66" spans="1:3" x14ac:dyDescent="0.25">
      <c r="A66" t="s">
        <v>71</v>
      </c>
      <c r="B66" t="str">
        <f>B64&amp;" "&amp;RegexFindFirst(B65,C66)</f>
        <v>000 002</v>
      </c>
      <c r="C66" t="s">
        <v>15</v>
      </c>
    </row>
    <row r="67" spans="1:3" x14ac:dyDescent="0.25">
      <c r="A67" t="s">
        <v>68</v>
      </c>
      <c r="B67" t="str">
        <f>RegexReplaceFirst(B65,C67,"")</f>
        <v>8252</v>
      </c>
      <c r="C67" t="s">
        <v>15</v>
      </c>
    </row>
    <row r="68" spans="1:3" x14ac:dyDescent="0.25">
      <c r="A68" t="s">
        <v>71</v>
      </c>
      <c r="B68" t="str">
        <f>B66&amp;" "&amp;B67</f>
        <v>000 002 8252</v>
      </c>
      <c r="C68" t="s">
        <v>15</v>
      </c>
    </row>
    <row r="69" spans="1:3" x14ac:dyDescent="0.25">
      <c r="A69" t="s">
        <v>72</v>
      </c>
      <c r="B69" t="str">
        <f>StringReverse(B68)</f>
        <v>2528 200 000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9D82E22-FF4F-4DD0-A6D4-07EBD277F7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Files In Test Folder</vt:lpstr>
    </vt:vector>
  </TitlesOfParts>
  <Company>Novelis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 Voreppe 03</dc:creator>
  <cp:lastModifiedBy>PIERRE LEROY</cp:lastModifiedBy>
  <dcterms:created xsi:type="dcterms:W3CDTF">2021-04-28T14:36:07Z</dcterms:created>
  <dcterms:modified xsi:type="dcterms:W3CDTF">2021-08-13T12:08:58Z</dcterms:modified>
</cp:coreProperties>
</file>